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82108\Miraeasset_AI_Festival\outputs\agentai_simple_taxonomy_20260828\"/>
    </mc:Choice>
  </mc:AlternateContent>
  <xr:revisionPtr revIDLastSave="0" documentId="8_{2224272B-EA25-4155-AB41-59F03566A192}" xr6:coauthVersionLast="47" xr6:coauthVersionMax="47" xr10:uidLastSave="{00000000-0000-0000-0000-000000000000}"/>
  <bookViews>
    <workbookView xWindow="1116" yWindow="1116" windowWidth="17280" windowHeight="8880" xr2:uid="{6FACB06D-04E3-4660-B425-D7E215B100FC}"/>
  </bookViews>
  <sheets>
    <sheet name="AI 학습용 분류" sheetId="2" r:id="rId1"/>
    <sheet name="그룹 기준" sheetId="1" r:id="rId2"/>
  </sheets>
  <definedNames>
    <definedName name="_xlnm.Print_Area" localSheetId="0">'AI 학습용 분류'!$A$1:$E$29</definedName>
    <definedName name="_xlnm.Print_Area" localSheetId="1">'그룹 기준'!$A$1:$F$15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0" i="1" l="1"/>
  <c r="F10" i="1" s="1"/>
  <c r="D10" i="1"/>
  <c r="E9" i="1"/>
  <c r="F9" i="1" s="1"/>
  <c r="D9" i="1"/>
  <c r="E8" i="1"/>
  <c r="F8" i="1" s="1"/>
  <c r="D8" i="1"/>
  <c r="E7" i="1"/>
  <c r="F7" i="1" s="1"/>
  <c r="D7" i="1"/>
  <c r="F6" i="1"/>
  <c r="E6" i="1"/>
  <c r="D6" i="1"/>
  <c r="E5" i="1"/>
  <c r="E11" i="1" s="1"/>
  <c r="D5" i="1"/>
  <c r="D11" i="1" s="1"/>
  <c r="F5" i="1" l="1"/>
  <c r="F11" i="1" s="1"/>
</calcChain>
</file>

<file path=xl/sharedStrings.xml><?xml version="1.0" encoding="utf-8"?>
<sst xmlns="http://schemas.openxmlformats.org/spreadsheetml/2006/main" count="147" uniqueCount="79">
  <si>
    <t>공시 제목</t>
  </si>
  <si>
    <t>문서 수</t>
  </si>
  <si>
    <t>통합 분류</t>
  </si>
  <si>
    <t>세부 유형</t>
  </si>
  <si>
    <t>학습용 라벨</t>
  </si>
  <si>
    <t>주요사항보고서(자기주식처분결정)</t>
  </si>
  <si>
    <t>자본·주식관리</t>
  </si>
  <si>
    <t>자기주식 처분</t>
  </si>
  <si>
    <t>EQUITY_MANAGEMENT</t>
  </si>
  <si>
    <t>주요사항보고서(자기주식취득결정)</t>
  </si>
  <si>
    <t>자기주식 취득</t>
  </si>
  <si>
    <t>주요사항보고서(상각형조건부자본증권발행결정)</t>
  </si>
  <si>
    <t>자금조달·메자닌</t>
  </si>
  <si>
    <t>자본성·조건부자본증권 발행</t>
  </si>
  <si>
    <t>FINANCING_SECURITIES</t>
  </si>
  <si>
    <t>주요사항보고서(유상증자결정)</t>
  </si>
  <si>
    <t>유상증자</t>
  </si>
  <si>
    <t>주요사항보고서(자기주식취득신탁계약체결결정)</t>
  </si>
  <si>
    <t>자기주식 신탁</t>
  </si>
  <si>
    <t>주요사항보고서(자기주식취득신탁계약해지결정)</t>
  </si>
  <si>
    <t>주요사항보고서(회사합병결정)</t>
  </si>
  <si>
    <t>기업결합·조직재편</t>
  </si>
  <si>
    <t>회사 합병</t>
  </si>
  <si>
    <t>CORPORATE_RESTRUCTURING</t>
  </si>
  <si>
    <t>주요사항보고서(전환사채권발행결정)</t>
  </si>
  <si>
    <t>전환사채(CB)</t>
  </si>
  <si>
    <t>주요사항보고서(주식교환·이전결정)</t>
  </si>
  <si>
    <t>주식교환·이전</t>
  </si>
  <si>
    <t>주요사항보고서(회사분할결정)</t>
  </si>
  <si>
    <t>기업 분할</t>
  </si>
  <si>
    <t>주요사항보고서(회사분할합병결정)</t>
  </si>
  <si>
    <t>주요사항보고서(타법인주식및출자증권양수결정)</t>
  </si>
  <si>
    <t>투자·자산거래</t>
  </si>
  <si>
    <t>타법인 지분 거래</t>
  </si>
  <si>
    <t>INVESTMENT_ASSET_TRANSACTIONS</t>
  </si>
  <si>
    <t>주요사항보고서(감자결정)</t>
  </si>
  <si>
    <t>감자</t>
  </si>
  <si>
    <t>주요사항보고서(자본으로인정되는채무증권발행결정)</t>
  </si>
  <si>
    <t>주요사항보고서(무상증자결정)</t>
  </si>
  <si>
    <t>무상증자</t>
  </si>
  <si>
    <t>주요사항보고서(소송등의제기)</t>
  </si>
  <si>
    <t>경영위험</t>
  </si>
  <si>
    <t>소송·분쟁</t>
  </si>
  <si>
    <t>BUSINESS_RISK</t>
  </si>
  <si>
    <t>주요사항보고서(교환사채권발행결정)</t>
  </si>
  <si>
    <t>교환사채(EB)</t>
  </si>
  <si>
    <t>주요사항보고서(해외증권시장주권등상장폐지)</t>
  </si>
  <si>
    <t>상장·시장변경</t>
  </si>
  <si>
    <t>해외 상장폐지</t>
  </si>
  <si>
    <t>LISTING_STATUS</t>
  </si>
  <si>
    <t>주요사항보고서(해외증권시장주권등상장폐지결정)</t>
  </si>
  <si>
    <t>주요사항보고서(유형자산양도결정)</t>
  </si>
  <si>
    <t>유형자산 거래</t>
  </si>
  <si>
    <t>주요사항보고서(영업양수결정)</t>
  </si>
  <si>
    <t>영업 양수</t>
  </si>
  <si>
    <t>주요사항보고서(유형자산양수결정)</t>
  </si>
  <si>
    <t>주요사항보고서(자기전환사채매도결정)</t>
  </si>
  <si>
    <t>주요사항보고서(영업정지)</t>
  </si>
  <si>
    <t>영업정지</t>
  </si>
  <si>
    <t>주요사항보고서(제3자의전환사채매수선택권행사)</t>
  </si>
  <si>
    <t>주요사항보고서(타법인주식및출자증권양도결정)</t>
  </si>
  <si>
    <t>주요사항보고서(해외증권시장주권등상장)</t>
  </si>
  <si>
    <t>해외 상장</t>
  </si>
  <si>
    <t>주요사항보고서(해외증권시장주권등상장결정)</t>
  </si>
  <si>
    <t>AI 학습용 6개 통합 분류</t>
  </si>
  <si>
    <t>공시 제목만으로 구분하기 쉬운 경제적 사건군으로 단순화했습니다.</t>
  </si>
  <si>
    <t>묶는 기준</t>
  </si>
  <si>
    <t>공시 유형 수</t>
  </si>
  <si>
    <t>문서 비중</t>
  </si>
  <si>
    <t>자기주식·자사주신탁·감자·무상증자 등 회사 자체의 주식·자본구조 조정</t>
  </si>
  <si>
    <t>유상증자와 CB·EB·조건부자본증권의 발행·매도·권리행사 등 조달증권 생애주기</t>
  </si>
  <si>
    <t>회사·사업의 합병·분할·분할합병·주식교환·영업양수 등 조직 재편</t>
  </si>
  <si>
    <t>타법인 지분이나 유형자산의 취득·매각</t>
  </si>
  <si>
    <t>해외 증권시장의 상장 또는 상장폐지 결정·완료</t>
  </si>
  <si>
    <t>소송 제기나 영업정지처럼 법률·영업연속성 위험이 현실화된 사건</t>
  </si>
  <si>
    <t>합계</t>
  </si>
  <si>
    <t>사용 방법: 'AI 학습용 분류' 시트의 E열(학습용 라벨) 6개만 모델의 정답값(target)으로 사용합니다.</t>
  </si>
  <si>
    <t>주의: 상위 두 그룹이 전체의 85% 이상이므로 학습·평가 분할 시 stratified split과 class weight를 권장합니다.</t>
  </si>
  <si>
    <t>분류 원칙: 일반 단어보다 긴 핵심 구문(자기전환사채, 타법인주식, 주식교환·이전, 상장폐지)을 먼저 판정합니다.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</si>
</sst>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6"/>
      <color rgb="FFFFFFFF"/>
      <name val="맑은 고딕"/>
      <family val="3"/>
      <charset val="129"/>
      <scheme val="minor"/>
    </font>
    <font>
      <sz val="10"/>
      <color rgb="FF595959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2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11" borderId="0" xfId="0" applyFont="1" applyFill="1" applyAlignment="1">
      <alignment horizontal="left" vertical="center" wrapText="1"/>
    </xf>
    <xf numFmtId="0" fontId="3" fillId="9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3" fontId="2" fillId="0" borderId="1" xfId="0" applyNumberFormat="1" applyFont="1" applyBorder="1" applyAlignment="1">
      <alignment horizontal="right" vertical="center"/>
    </xf>
    <xf numFmtId="176" fontId="2" fillId="0" borderId="1" xfId="0" applyNumberFormat="1" applyFont="1" applyBorder="1" applyAlignment="1">
      <alignment horizontal="right" vertical="center"/>
    </xf>
    <xf numFmtId="0" fontId="4" fillId="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vertical="center"/>
    </xf>
    <xf numFmtId="3" fontId="4" fillId="10" borderId="1" xfId="0" applyNumberFormat="1" applyFont="1" applyFill="1" applyBorder="1" applyAlignment="1">
      <alignment horizontal="right" vertical="center"/>
    </xf>
    <xf numFmtId="176" fontId="4" fillId="10" borderId="1" xfId="0" applyNumberFormat="1" applyFont="1" applyFill="1" applyBorder="1" applyAlignment="1">
      <alignment horizontal="right" vertical="center"/>
    </xf>
  </cellXfs>
  <cellStyles count="1">
    <cellStyle name="표준" xfId="0" builtinId="0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맑은 고딕"/>
        <family val="3"/>
        <charset val="129"/>
        <scheme val="minor"/>
      </font>
      <fill>
        <patternFill patternType="solid">
          <fgColor indexed="64"/>
          <bgColor rgb="FF1F4E79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C8A35B-CA1E-4343-B9CB-86B7253BDB5A}" name="SimplifiedDisclosureTaxonomy" displayName="SimplifiedDisclosureTaxonomy" ref="A1:E29" totalsRowShown="0" headerRowDxfId="0">
  <autoFilter ref="A1:E29" xr:uid="{01C8A35B-CA1E-4343-B9CB-86B7253BDB5A}"/>
  <tableColumns count="5">
    <tableColumn id="1" xr3:uid="{77F1F035-F26E-46D6-A413-5C51026EEFB8}" name="공시 제목" dataDxfId="3"/>
    <tableColumn id="2" xr3:uid="{B03DDF1B-E8AB-486D-8D3D-52707D82657B}" name="문서 수" dataDxfId="2"/>
    <tableColumn id="3" xr3:uid="{74699ADF-382C-4D9C-8F9D-851DB3FA4112}" name="통합 분류"/>
    <tableColumn id="4" xr3:uid="{ADD4F148-6ECB-4473-A888-E8F407D1BA83}" name="세부 유형" dataDxfId="1"/>
    <tableColumn id="5" xr3:uid="{F863A562-B892-4B91-B677-669139F82764}" name="학습용 라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4D478-5A77-4C43-AF30-BFDE1CCD86E8}">
  <sheetPr>
    <tabColor rgb="FF1F4E79"/>
    <pageSetUpPr fitToPage="1"/>
  </sheetPr>
  <dimension ref="A1:E29"/>
  <sheetViews>
    <sheetView showGridLines="0" tabSelected="1" workbookViewId="0">
      <pane ySplit="1" topLeftCell="A2" activePane="bottomLeft" state="frozenSplit"/>
      <selection pane="bottomLeft"/>
    </sheetView>
  </sheetViews>
  <sheetFormatPr defaultRowHeight="15.6" x14ac:dyDescent="0.4"/>
  <cols>
    <col min="1" max="1" width="48.69921875" style="1" customWidth="1"/>
    <col min="2" max="2" width="10.69921875" style="1" customWidth="1"/>
    <col min="3" max="3" width="22.69921875" style="1" customWidth="1"/>
    <col min="4" max="4" width="30.69921875" style="1" customWidth="1"/>
    <col min="5" max="5" width="34.69921875" style="1" customWidth="1"/>
    <col min="6" max="16384" width="8.796875" style="1"/>
  </cols>
  <sheetData>
    <row r="1" spans="1:5" ht="27" customHeight="1" x14ac:dyDescent="0.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22.05" customHeight="1" x14ac:dyDescent="0.4">
      <c r="A2" s="3" t="s">
        <v>5</v>
      </c>
      <c r="B2" s="4">
        <v>157</v>
      </c>
      <c r="C2" s="6" t="s">
        <v>6</v>
      </c>
      <c r="D2" s="3" t="s">
        <v>7</v>
      </c>
      <c r="E2" s="5" t="s">
        <v>8</v>
      </c>
    </row>
    <row r="3" spans="1:5" ht="22.05" customHeight="1" x14ac:dyDescent="0.4">
      <c r="A3" s="3" t="s">
        <v>9</v>
      </c>
      <c r="B3" s="4">
        <v>91</v>
      </c>
      <c r="C3" s="6" t="s">
        <v>6</v>
      </c>
      <c r="D3" s="3" t="s">
        <v>10</v>
      </c>
      <c r="E3" s="5" t="s">
        <v>8</v>
      </c>
    </row>
    <row r="4" spans="1:5" ht="22.05" customHeight="1" x14ac:dyDescent="0.4">
      <c r="A4" s="3" t="s">
        <v>11</v>
      </c>
      <c r="B4" s="4">
        <v>71</v>
      </c>
      <c r="C4" s="8" t="s">
        <v>12</v>
      </c>
      <c r="D4" s="3" t="s">
        <v>13</v>
      </c>
      <c r="E4" s="7" t="s">
        <v>14</v>
      </c>
    </row>
    <row r="5" spans="1:5" ht="22.05" customHeight="1" x14ac:dyDescent="0.4">
      <c r="A5" s="3" t="s">
        <v>15</v>
      </c>
      <c r="B5" s="4">
        <v>56</v>
      </c>
      <c r="C5" s="8" t="s">
        <v>12</v>
      </c>
      <c r="D5" s="3" t="s">
        <v>16</v>
      </c>
      <c r="E5" s="7" t="s">
        <v>14</v>
      </c>
    </row>
    <row r="6" spans="1:5" ht="22.05" customHeight="1" x14ac:dyDescent="0.4">
      <c r="A6" s="3" t="s">
        <v>17</v>
      </c>
      <c r="B6" s="4">
        <v>47</v>
      </c>
      <c r="C6" s="6" t="s">
        <v>6</v>
      </c>
      <c r="D6" s="3" t="s">
        <v>18</v>
      </c>
      <c r="E6" s="5" t="s">
        <v>8</v>
      </c>
    </row>
    <row r="7" spans="1:5" ht="22.05" customHeight="1" x14ac:dyDescent="0.4">
      <c r="A7" s="3" t="s">
        <v>19</v>
      </c>
      <c r="B7" s="4">
        <v>43</v>
      </c>
      <c r="C7" s="6" t="s">
        <v>6</v>
      </c>
      <c r="D7" s="3" t="s">
        <v>18</v>
      </c>
      <c r="E7" s="5" t="s">
        <v>8</v>
      </c>
    </row>
    <row r="8" spans="1:5" ht="22.05" customHeight="1" x14ac:dyDescent="0.4">
      <c r="A8" s="3" t="s">
        <v>20</v>
      </c>
      <c r="B8" s="4">
        <v>24</v>
      </c>
      <c r="C8" s="10" t="s">
        <v>21</v>
      </c>
      <c r="D8" s="3" t="s">
        <v>22</v>
      </c>
      <c r="E8" s="9" t="s">
        <v>23</v>
      </c>
    </row>
    <row r="9" spans="1:5" ht="22.05" customHeight="1" x14ac:dyDescent="0.4">
      <c r="A9" s="3" t="s">
        <v>24</v>
      </c>
      <c r="B9" s="4">
        <v>22</v>
      </c>
      <c r="C9" s="8" t="s">
        <v>12</v>
      </c>
      <c r="D9" s="3" t="s">
        <v>25</v>
      </c>
      <c r="E9" s="7" t="s">
        <v>14</v>
      </c>
    </row>
    <row r="10" spans="1:5" ht="22.05" customHeight="1" x14ac:dyDescent="0.4">
      <c r="A10" s="3" t="s">
        <v>26</v>
      </c>
      <c r="B10" s="4">
        <v>12</v>
      </c>
      <c r="C10" s="10" t="s">
        <v>21</v>
      </c>
      <c r="D10" s="3" t="s">
        <v>27</v>
      </c>
      <c r="E10" s="9" t="s">
        <v>23</v>
      </c>
    </row>
    <row r="11" spans="1:5" ht="22.05" customHeight="1" x14ac:dyDescent="0.4">
      <c r="A11" s="3" t="s">
        <v>28</v>
      </c>
      <c r="B11" s="4">
        <v>12</v>
      </c>
      <c r="C11" s="10" t="s">
        <v>21</v>
      </c>
      <c r="D11" s="3" t="s">
        <v>29</v>
      </c>
      <c r="E11" s="9" t="s">
        <v>23</v>
      </c>
    </row>
    <row r="12" spans="1:5" ht="22.05" customHeight="1" x14ac:dyDescent="0.4">
      <c r="A12" s="3" t="s">
        <v>30</v>
      </c>
      <c r="B12" s="4">
        <v>8</v>
      </c>
      <c r="C12" s="10" t="s">
        <v>21</v>
      </c>
      <c r="D12" s="3" t="s">
        <v>29</v>
      </c>
      <c r="E12" s="9" t="s">
        <v>23</v>
      </c>
    </row>
    <row r="13" spans="1:5" ht="22.05" customHeight="1" x14ac:dyDescent="0.4">
      <c r="A13" s="3" t="s">
        <v>31</v>
      </c>
      <c r="B13" s="4">
        <v>7</v>
      </c>
      <c r="C13" s="12" t="s">
        <v>32</v>
      </c>
      <c r="D13" s="3" t="s">
        <v>33</v>
      </c>
      <c r="E13" s="11" t="s">
        <v>34</v>
      </c>
    </row>
    <row r="14" spans="1:5" ht="22.05" customHeight="1" x14ac:dyDescent="0.4">
      <c r="A14" s="3" t="s">
        <v>35</v>
      </c>
      <c r="B14" s="4">
        <v>6</v>
      </c>
      <c r="C14" s="6" t="s">
        <v>6</v>
      </c>
      <c r="D14" s="3" t="s">
        <v>36</v>
      </c>
      <c r="E14" s="5" t="s">
        <v>8</v>
      </c>
    </row>
    <row r="15" spans="1:5" ht="22.05" customHeight="1" x14ac:dyDescent="0.4">
      <c r="A15" s="3" t="s">
        <v>37</v>
      </c>
      <c r="B15" s="4">
        <v>6</v>
      </c>
      <c r="C15" s="8" t="s">
        <v>12</v>
      </c>
      <c r="D15" s="3" t="s">
        <v>13</v>
      </c>
      <c r="E15" s="7" t="s">
        <v>14</v>
      </c>
    </row>
    <row r="16" spans="1:5" ht="22.05" customHeight="1" x14ac:dyDescent="0.4">
      <c r="A16" s="3" t="s">
        <v>38</v>
      </c>
      <c r="B16" s="4">
        <v>5</v>
      </c>
      <c r="C16" s="6" t="s">
        <v>6</v>
      </c>
      <c r="D16" s="3" t="s">
        <v>39</v>
      </c>
      <c r="E16" s="5" t="s">
        <v>8</v>
      </c>
    </row>
    <row r="17" spans="1:5" ht="22.05" customHeight="1" x14ac:dyDescent="0.4">
      <c r="A17" s="3" t="s">
        <v>40</v>
      </c>
      <c r="B17" s="4">
        <v>5</v>
      </c>
      <c r="C17" s="14" t="s">
        <v>41</v>
      </c>
      <c r="D17" s="3" t="s">
        <v>42</v>
      </c>
      <c r="E17" s="13" t="s">
        <v>43</v>
      </c>
    </row>
    <row r="18" spans="1:5" ht="22.05" customHeight="1" x14ac:dyDescent="0.4">
      <c r="A18" s="3" t="s">
        <v>44</v>
      </c>
      <c r="B18" s="4">
        <v>4</v>
      </c>
      <c r="C18" s="8" t="s">
        <v>12</v>
      </c>
      <c r="D18" s="3" t="s">
        <v>45</v>
      </c>
      <c r="E18" s="7" t="s">
        <v>14</v>
      </c>
    </row>
    <row r="19" spans="1:5" ht="22.05" customHeight="1" x14ac:dyDescent="0.4">
      <c r="A19" s="3" t="s">
        <v>46</v>
      </c>
      <c r="B19" s="4">
        <v>4</v>
      </c>
      <c r="C19" s="16" t="s">
        <v>47</v>
      </c>
      <c r="D19" s="3" t="s">
        <v>48</v>
      </c>
      <c r="E19" s="15" t="s">
        <v>49</v>
      </c>
    </row>
    <row r="20" spans="1:5" ht="22.05" customHeight="1" x14ac:dyDescent="0.4">
      <c r="A20" s="3" t="s">
        <v>50</v>
      </c>
      <c r="B20" s="4">
        <v>4</v>
      </c>
      <c r="C20" s="16" t="s">
        <v>47</v>
      </c>
      <c r="D20" s="3" t="s">
        <v>48</v>
      </c>
      <c r="E20" s="15" t="s">
        <v>49</v>
      </c>
    </row>
    <row r="21" spans="1:5" ht="22.05" customHeight="1" x14ac:dyDescent="0.4">
      <c r="A21" s="3" t="s">
        <v>51</v>
      </c>
      <c r="B21" s="4">
        <v>3</v>
      </c>
      <c r="C21" s="12" t="s">
        <v>32</v>
      </c>
      <c r="D21" s="3" t="s">
        <v>52</v>
      </c>
      <c r="E21" s="11" t="s">
        <v>34</v>
      </c>
    </row>
    <row r="22" spans="1:5" ht="22.05" customHeight="1" x14ac:dyDescent="0.4">
      <c r="A22" s="3" t="s">
        <v>53</v>
      </c>
      <c r="B22" s="4">
        <v>2</v>
      </c>
      <c r="C22" s="10" t="s">
        <v>21</v>
      </c>
      <c r="D22" s="3" t="s">
        <v>54</v>
      </c>
      <c r="E22" s="9" t="s">
        <v>23</v>
      </c>
    </row>
    <row r="23" spans="1:5" ht="22.05" customHeight="1" x14ac:dyDescent="0.4">
      <c r="A23" s="3" t="s">
        <v>55</v>
      </c>
      <c r="B23" s="4">
        <v>2</v>
      </c>
      <c r="C23" s="12" t="s">
        <v>32</v>
      </c>
      <c r="D23" s="3" t="s">
        <v>52</v>
      </c>
      <c r="E23" s="11" t="s">
        <v>34</v>
      </c>
    </row>
    <row r="24" spans="1:5" ht="22.05" customHeight="1" x14ac:dyDescent="0.4">
      <c r="A24" s="3" t="s">
        <v>56</v>
      </c>
      <c r="B24" s="4">
        <v>2</v>
      </c>
      <c r="C24" s="8" t="s">
        <v>12</v>
      </c>
      <c r="D24" s="3" t="s">
        <v>25</v>
      </c>
      <c r="E24" s="7" t="s">
        <v>14</v>
      </c>
    </row>
    <row r="25" spans="1:5" ht="22.05" customHeight="1" x14ac:dyDescent="0.4">
      <c r="A25" s="3" t="s">
        <v>57</v>
      </c>
      <c r="B25" s="4">
        <v>1</v>
      </c>
      <c r="C25" s="14" t="s">
        <v>41</v>
      </c>
      <c r="D25" s="3" t="s">
        <v>58</v>
      </c>
      <c r="E25" s="13" t="s">
        <v>43</v>
      </c>
    </row>
    <row r="26" spans="1:5" ht="22.05" customHeight="1" x14ac:dyDescent="0.4">
      <c r="A26" s="3" t="s">
        <v>59</v>
      </c>
      <c r="B26" s="4">
        <v>1</v>
      </c>
      <c r="C26" s="8" t="s">
        <v>12</v>
      </c>
      <c r="D26" s="3" t="s">
        <v>25</v>
      </c>
      <c r="E26" s="7" t="s">
        <v>14</v>
      </c>
    </row>
    <row r="27" spans="1:5" ht="22.05" customHeight="1" x14ac:dyDescent="0.4">
      <c r="A27" s="3" t="s">
        <v>60</v>
      </c>
      <c r="B27" s="4">
        <v>1</v>
      </c>
      <c r="C27" s="12" t="s">
        <v>32</v>
      </c>
      <c r="D27" s="3" t="s">
        <v>33</v>
      </c>
      <c r="E27" s="11" t="s">
        <v>34</v>
      </c>
    </row>
    <row r="28" spans="1:5" ht="22.05" customHeight="1" x14ac:dyDescent="0.4">
      <c r="A28" s="3" t="s">
        <v>61</v>
      </c>
      <c r="B28" s="4">
        <v>1</v>
      </c>
      <c r="C28" s="16" t="s">
        <v>47</v>
      </c>
      <c r="D28" s="3" t="s">
        <v>62</v>
      </c>
      <c r="E28" s="15" t="s">
        <v>49</v>
      </c>
    </row>
    <row r="29" spans="1:5" ht="22.05" customHeight="1" x14ac:dyDescent="0.4">
      <c r="A29" s="3" t="s">
        <v>63</v>
      </c>
      <c r="B29" s="4">
        <v>1</v>
      </c>
      <c r="C29" s="16" t="s">
        <v>47</v>
      </c>
      <c r="D29" s="3" t="s">
        <v>62</v>
      </c>
      <c r="E29" s="15" t="s">
        <v>49</v>
      </c>
    </row>
  </sheetData>
  <phoneticPr fontId="1" type="noConversion"/>
  <pageMargins left="0.25" right="0.25" top="0.4" bottom="0.4" header="0.3" footer="0.3"/>
  <pageSetup paperSize="9" scale="87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AE02-6686-4179-9B97-369FDB6DC8CA}">
  <sheetPr>
    <tabColor rgb="FF4472C4"/>
    <pageSetUpPr fitToPage="1"/>
  </sheetPr>
  <dimension ref="A1:F15"/>
  <sheetViews>
    <sheetView showGridLines="0" workbookViewId="0">
      <pane ySplit="4" topLeftCell="A5" activePane="bottomLeft" state="frozenSplit"/>
      <selection pane="bottomLeft" sqref="A1:F1"/>
    </sheetView>
  </sheetViews>
  <sheetFormatPr defaultRowHeight="15.6" x14ac:dyDescent="0.4"/>
  <cols>
    <col min="1" max="1" width="22.69921875" style="1" customWidth="1"/>
    <col min="2" max="2" width="35.69921875" style="1" customWidth="1"/>
    <col min="3" max="3" width="62.69921875" style="1" customWidth="1"/>
    <col min="4" max="4" width="13.69921875" style="1" customWidth="1"/>
    <col min="5" max="6" width="12.69921875" style="1" customWidth="1"/>
    <col min="7" max="16384" width="8.796875" style="1"/>
  </cols>
  <sheetData>
    <row r="1" spans="1:6" ht="34.049999999999997" customHeight="1" x14ac:dyDescent="0.4">
      <c r="A1" s="17" t="s">
        <v>64</v>
      </c>
      <c r="B1" s="17"/>
      <c r="C1" s="17"/>
      <c r="D1" s="17"/>
      <c r="E1" s="17"/>
      <c r="F1" s="17"/>
    </row>
    <row r="2" spans="1:6" ht="24" customHeight="1" x14ac:dyDescent="0.4">
      <c r="A2" s="18" t="s">
        <v>65</v>
      </c>
      <c r="B2" s="18"/>
      <c r="C2" s="18"/>
      <c r="D2" s="18"/>
      <c r="E2" s="18"/>
      <c r="F2" s="18"/>
    </row>
    <row r="4" spans="1:6" ht="25.95" customHeight="1" x14ac:dyDescent="0.4">
      <c r="A4" s="20" t="s">
        <v>2</v>
      </c>
      <c r="B4" s="20" t="s">
        <v>4</v>
      </c>
      <c r="C4" s="20" t="s">
        <v>66</v>
      </c>
      <c r="D4" s="20" t="s">
        <v>67</v>
      </c>
      <c r="E4" s="20" t="s">
        <v>1</v>
      </c>
      <c r="F4" s="20" t="s">
        <v>68</v>
      </c>
    </row>
    <row r="5" spans="1:6" ht="37.950000000000003" customHeight="1" x14ac:dyDescent="0.4">
      <c r="A5" s="21" t="s">
        <v>6</v>
      </c>
      <c r="B5" s="22" t="s">
        <v>8</v>
      </c>
      <c r="C5" s="23" t="s">
        <v>69</v>
      </c>
      <c r="D5" s="24">
        <f>COUNTIF('AI 학습용 분류'!$C$2:$C$29,A5)</f>
        <v>6</v>
      </c>
      <c r="E5" s="24">
        <f>SUMIF('AI 학습용 분류'!$C$2:$C$29,A5,'AI 학습용 분류'!$B$2:$B$29)</f>
        <v>349</v>
      </c>
      <c r="F5" s="25">
        <f>E5/SUM($E$5:$E$10)</f>
        <v>0.58361204013377932</v>
      </c>
    </row>
    <row r="6" spans="1:6" ht="37.950000000000003" customHeight="1" x14ac:dyDescent="0.4">
      <c r="A6" s="26" t="s">
        <v>12</v>
      </c>
      <c r="B6" s="22" t="s">
        <v>14</v>
      </c>
      <c r="C6" s="23" t="s">
        <v>70</v>
      </c>
      <c r="D6" s="24">
        <f>COUNTIF('AI 학습용 분류'!$C$2:$C$29,A6)</f>
        <v>7</v>
      </c>
      <c r="E6" s="24">
        <f>SUMIF('AI 학습용 분류'!$C$2:$C$29,A6,'AI 학습용 분류'!$B$2:$B$29)</f>
        <v>162</v>
      </c>
      <c r="F6" s="25">
        <f>E6/SUM($E$5:$E$10)</f>
        <v>0.2709030100334448</v>
      </c>
    </row>
    <row r="7" spans="1:6" ht="37.950000000000003" customHeight="1" x14ac:dyDescent="0.4">
      <c r="A7" s="27" t="s">
        <v>21</v>
      </c>
      <c r="B7" s="22" t="s">
        <v>23</v>
      </c>
      <c r="C7" s="23" t="s">
        <v>71</v>
      </c>
      <c r="D7" s="24">
        <f>COUNTIF('AI 학습용 분류'!$C$2:$C$29,A7)</f>
        <v>5</v>
      </c>
      <c r="E7" s="24">
        <f>SUMIF('AI 학습용 분류'!$C$2:$C$29,A7,'AI 학습용 분류'!$B$2:$B$29)</f>
        <v>58</v>
      </c>
      <c r="F7" s="25">
        <f>E7/SUM($E$5:$E$10)</f>
        <v>9.6989966555183951E-2</v>
      </c>
    </row>
    <row r="8" spans="1:6" ht="37.950000000000003" customHeight="1" x14ac:dyDescent="0.4">
      <c r="A8" s="28" t="s">
        <v>32</v>
      </c>
      <c r="B8" s="22" t="s">
        <v>34</v>
      </c>
      <c r="C8" s="23" t="s">
        <v>72</v>
      </c>
      <c r="D8" s="24">
        <f>COUNTIF('AI 학습용 분류'!$C$2:$C$29,A8)</f>
        <v>4</v>
      </c>
      <c r="E8" s="24">
        <f>SUMIF('AI 학습용 분류'!$C$2:$C$29,A8,'AI 학습용 분류'!$B$2:$B$29)</f>
        <v>13</v>
      </c>
      <c r="F8" s="25">
        <f>E8/SUM($E$5:$E$10)</f>
        <v>2.1739130434782608E-2</v>
      </c>
    </row>
    <row r="9" spans="1:6" ht="37.950000000000003" customHeight="1" x14ac:dyDescent="0.4">
      <c r="A9" s="29" t="s">
        <v>47</v>
      </c>
      <c r="B9" s="22" t="s">
        <v>49</v>
      </c>
      <c r="C9" s="23" t="s">
        <v>73</v>
      </c>
      <c r="D9" s="24">
        <f>COUNTIF('AI 학습용 분류'!$C$2:$C$29,A9)</f>
        <v>4</v>
      </c>
      <c r="E9" s="24">
        <f>SUMIF('AI 학습용 분류'!$C$2:$C$29,A9,'AI 학습용 분류'!$B$2:$B$29)</f>
        <v>10</v>
      </c>
      <c r="F9" s="25">
        <f>E9/SUM($E$5:$E$10)</f>
        <v>1.6722408026755852E-2</v>
      </c>
    </row>
    <row r="10" spans="1:6" ht="37.950000000000003" customHeight="1" x14ac:dyDescent="0.4">
      <c r="A10" s="30" t="s">
        <v>41</v>
      </c>
      <c r="B10" s="22" t="s">
        <v>43</v>
      </c>
      <c r="C10" s="23" t="s">
        <v>74</v>
      </c>
      <c r="D10" s="24">
        <f>COUNTIF('AI 학습용 분류'!$C$2:$C$29,A10)</f>
        <v>2</v>
      </c>
      <c r="E10" s="24">
        <f>SUMIF('AI 학습용 분류'!$C$2:$C$29,A10,'AI 학습용 분류'!$B$2:$B$29)</f>
        <v>6</v>
      </c>
      <c r="F10" s="25">
        <f>E10/SUM($E$5:$E$10)</f>
        <v>1.0033444816053512E-2</v>
      </c>
    </row>
    <row r="11" spans="1:6" ht="24" customHeight="1" x14ac:dyDescent="0.4">
      <c r="A11" s="31" t="s">
        <v>75</v>
      </c>
      <c r="B11" s="32"/>
      <c r="C11" s="32"/>
      <c r="D11" s="33">
        <f>SUM(D5:D10)</f>
        <v>28</v>
      </c>
      <c r="E11" s="33">
        <f>SUM(E5:E10)</f>
        <v>598</v>
      </c>
      <c r="F11" s="34">
        <f>SUM(F5:F10)</f>
        <v>1</v>
      </c>
    </row>
    <row r="13" spans="1:6" ht="25.95" customHeight="1" x14ac:dyDescent="0.4">
      <c r="A13" s="19" t="s">
        <v>76</v>
      </c>
      <c r="B13" s="19"/>
      <c r="C13" s="19"/>
      <c r="D13" s="19"/>
      <c r="E13" s="19"/>
      <c r="F13" s="19"/>
    </row>
    <row r="14" spans="1:6" ht="25.95" customHeight="1" x14ac:dyDescent="0.4">
      <c r="A14" s="19" t="s">
        <v>77</v>
      </c>
      <c r="B14" s="19"/>
      <c r="C14" s="19"/>
      <c r="D14" s="19"/>
      <c r="E14" s="19"/>
      <c r="F14" s="19"/>
    </row>
    <row r="15" spans="1:6" ht="25.95" customHeight="1" x14ac:dyDescent="0.4">
      <c r="A15" s="19" t="s">
        <v>78</v>
      </c>
      <c r="B15" s="19"/>
      <c r="C15" s="19"/>
      <c r="D15" s="19"/>
      <c r="E15" s="19"/>
      <c r="F15" s="19"/>
    </row>
  </sheetData>
  <mergeCells count="5">
    <mergeCell ref="A1:F1"/>
    <mergeCell ref="A2:F2"/>
    <mergeCell ref="A13:F13"/>
    <mergeCell ref="A14:F14"/>
    <mergeCell ref="A15:F15"/>
  </mergeCells>
  <phoneticPr fontId="1" type="noConversion"/>
  <pageMargins left="0.25" right="0.25" top="0.4" bottom="0.4" header="0.3" footer="0.3"/>
  <pageSetup paperSize="9" scale="8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AI 학습용 분류</vt:lpstr>
      <vt:lpstr>그룹 기준</vt:lpstr>
      <vt:lpstr>'AI 학습용 분류'!Print_Area</vt:lpstr>
      <vt:lpstr>'그룹 기준'!Print_Area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김동현</dc:creator>
  <cp:lastModifiedBy>김동현</cp:lastModifiedBy>
  <dcterms:created xsi:type="dcterms:W3CDTF">2026-08-27T17:11:51Z</dcterms:created>
  <dcterms:modified xsi:type="dcterms:W3CDTF">2026-08-27T17:12:00Z</dcterms:modified>
</cp:coreProperties>
</file>