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PC\Desktop\Miraeasset_repo\DOCS\"/>
    </mc:Choice>
  </mc:AlternateContent>
  <xr:revisionPtr revIDLastSave="0" documentId="13_ncr:1_{C6D88C69-0279-43B7-AE13-C722D97B948A}" xr6:coauthVersionLast="47" xr6:coauthVersionMax="47" xr10:uidLastSave="{00000000-0000-0000-0000-000000000000}"/>
  <bookViews>
    <workbookView xWindow="-120" yWindow="-120" windowWidth="29040" windowHeight="15720" activeTab="1" xr2:uid="{6FACB06D-04E3-4660-B425-D7E215B100FC}"/>
  </bookViews>
  <sheets>
    <sheet name="major" sheetId="2" r:id="rId1"/>
    <sheet name="exchange" sheetId="3" r:id="rId2"/>
    <sheet name="그룹 기준" sheetId="1" r:id="rId3"/>
  </sheets>
  <definedNames>
    <definedName name="_xlnm._FilterDatabase" localSheetId="1" hidden="1">exchange!$A$1:$C$1</definedName>
    <definedName name="_xlnm.Print_Area" localSheetId="0">major!$A$1:$C$29</definedName>
    <definedName name="_xlnm.Print_Area" localSheetId="2">'그룹 기준'!$A$1:$F$15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  <c r="D10" i="1"/>
  <c r="E9" i="1"/>
  <c r="D9" i="1"/>
  <c r="E8" i="1"/>
  <c r="D8" i="1"/>
  <c r="E7" i="1"/>
  <c r="D7" i="1"/>
  <c r="E6" i="1"/>
  <c r="D6" i="1"/>
  <c r="E5" i="1"/>
  <c r="E11" i="1" s="1"/>
  <c r="D5" i="1"/>
  <c r="F7" i="1" l="1"/>
  <c r="F8" i="1"/>
  <c r="F9" i="1"/>
  <c r="D11" i="1"/>
  <c r="F6" i="1"/>
  <c r="F10" i="1"/>
  <c r="F5" i="1"/>
  <c r="F11" i="1" s="1"/>
</calcChain>
</file>

<file path=xl/sharedStrings.xml><?xml version="1.0" encoding="utf-8"?>
<sst xmlns="http://schemas.openxmlformats.org/spreadsheetml/2006/main" count="432" uniqueCount="254">
  <si>
    <t>공시 제목</t>
  </si>
  <si>
    <t>문서 수</t>
  </si>
  <si>
    <t>통합 분류</t>
  </si>
  <si>
    <t>세부 유형</t>
  </si>
  <si>
    <t>학습용 라벨</t>
  </si>
  <si>
    <t>자본·주식관리</t>
  </si>
  <si>
    <t>EQUITY_MANAGEMENT</t>
  </si>
  <si>
    <t>자금조달·메자닌</t>
  </si>
  <si>
    <t>FINANCING_SECURITIES</t>
  </si>
  <si>
    <t>유상증자</t>
  </si>
  <si>
    <t>기업결합·조직재편</t>
  </si>
  <si>
    <t>CORPORATE_RESTRUCTURING</t>
  </si>
  <si>
    <t>전환사채(CB)</t>
  </si>
  <si>
    <t>주식교환·이전</t>
  </si>
  <si>
    <t>투자·자산거래</t>
  </si>
  <si>
    <t>INVESTMENT_ASSET_TRANSACTIONS</t>
  </si>
  <si>
    <t>감자</t>
  </si>
  <si>
    <t>무상증자</t>
  </si>
  <si>
    <t>경영위험</t>
  </si>
  <si>
    <t>소송·분쟁</t>
  </si>
  <si>
    <t>BUSINESS_RISK</t>
  </si>
  <si>
    <t>교환사채(EB)</t>
  </si>
  <si>
    <t>상장·시장변경</t>
  </si>
  <si>
    <t>LISTING_STATUS</t>
  </si>
  <si>
    <t>영업정지</t>
  </si>
  <si>
    <t>AI 학습용 6개 통합 분류</t>
  </si>
  <si>
    <t>공시 제목만으로 구분하기 쉬운 경제적 사건군으로 단순화했습니다.</t>
  </si>
  <si>
    <t>묶는 기준</t>
  </si>
  <si>
    <t>공시 유형 수</t>
  </si>
  <si>
    <t>문서 비중</t>
  </si>
  <si>
    <t>자기주식·자사주신탁·감자·무상증자 등 회사 자체의 주식·자본구조 조정</t>
  </si>
  <si>
    <t>유상증자와 CB·EB·조건부자본증권의 발행·매도·권리행사 등 조달증권 생애주기</t>
  </si>
  <si>
    <t>회사·사업의 합병·분할·분할합병·주식교환·영업양수 등 조직 재편</t>
  </si>
  <si>
    <t>타법인 지분이나 유형자산의 취득·매각</t>
  </si>
  <si>
    <t>해외 증권시장의 상장 또는 상장폐지 결정·완료</t>
  </si>
  <si>
    <t>소송 제기나 영업정지처럼 법률·영업연속성 위험이 현실화된 사건</t>
  </si>
  <si>
    <t>합계</t>
  </si>
  <si>
    <t>사용 방법: 'AI 학습용 분류' 시트의 E열(학습용 라벨) 6개만 모델의 정답값(target)으로 사용합니다.</t>
  </si>
  <si>
    <t>주의: 상위 두 그룹이 전체의 85% 이상이므로 학습·평가 분할 시 stratified split과 class weight를 권장합니다.</t>
  </si>
  <si>
    <t>분류 원칙: 일반 단어보다 긴 핵심 구문(자기전환사채, 타법인주식, 주식교환·이전, 상장폐지)을 먼저 판정합니다.</t>
  </si>
  <si>
    <t>타법인주식및출자증권양수결정</t>
  </si>
  <si>
    <t>유형자산양도결정</t>
  </si>
  <si>
    <t>유형자산양수결정</t>
  </si>
  <si>
    <t>타법인주식및출자증권양도결정</t>
  </si>
  <si>
    <t>자기주식처분결정</t>
  </si>
  <si>
    <t>자기주식취득결정</t>
  </si>
  <si>
    <t>자기주식취득신탁계약체결결정</t>
  </si>
  <si>
    <t>자기주식취득신탁계약해지결정</t>
  </si>
  <si>
    <t>감자결정</t>
  </si>
  <si>
    <t>무상증자결정</t>
  </si>
  <si>
    <t>상각형조건부자본증권발행결정</t>
  </si>
  <si>
    <t>유상증자결정</t>
  </si>
  <si>
    <t>전환사채권발행결정</t>
  </si>
  <si>
    <t>자본으로인정되는채무증권발행결정</t>
  </si>
  <si>
    <t>교환사채권발행결정</t>
  </si>
  <si>
    <t>자기전환사채매도결정</t>
  </si>
  <si>
    <t>제3자의전환사채매수선택권행사</t>
  </si>
  <si>
    <t>해외증권시장주권등상장폐지</t>
  </si>
  <si>
    <t>해외증권시장주권등상장폐지결정</t>
  </si>
  <si>
    <t>해외증권시장주권등상장</t>
  </si>
  <si>
    <t>해외증권시장주권등상장결정</t>
  </si>
  <si>
    <t>회사합병결정</t>
  </si>
  <si>
    <t>주식교환·이전결정</t>
  </si>
  <si>
    <t>회사분할결정</t>
  </si>
  <si>
    <t>회사분할합병결정</t>
  </si>
  <si>
    <t>영업양수결정</t>
  </si>
  <si>
    <t>소송등의제기</t>
  </si>
  <si>
    <t>타법인지분거래</t>
  </si>
  <si>
    <t>유형자산양도</t>
  </si>
  <si>
    <t>유형자산양수</t>
  </si>
  <si>
    <t>자기주식처분</t>
  </si>
  <si>
    <t>자기주식취득</t>
  </si>
  <si>
    <t>자기주식신탁계약체결</t>
  </si>
  <si>
    <t>자기주식신탁계약해지</t>
  </si>
  <si>
    <t>자본성·조건부자본증권발행</t>
  </si>
  <si>
    <t>해외상장폐지</t>
  </si>
  <si>
    <t>해외상장</t>
  </si>
  <si>
    <t>기업분할·합병</t>
  </si>
  <si>
    <t>영업양수</t>
  </si>
  <si>
    <t>단일판매ㆍ공급계약체결</t>
  </si>
  <si>
    <t>투자·계약·자산</t>
  </si>
  <si>
    <t>타법인주식및출자증권취득결정</t>
  </si>
  <si>
    <t>타인에대한채무보증결정</t>
  </si>
  <si>
    <t>타법인주식및출자증권처분결정</t>
  </si>
  <si>
    <t>신규시설투자등</t>
  </si>
  <si>
    <t>신규시설투자</t>
  </si>
  <si>
    <t>선급금지급결정</t>
  </si>
  <si>
    <t>금전대여결정</t>
  </si>
  <si>
    <t>금전대여</t>
  </si>
  <si>
    <t>단일판매ㆍ공급계약해지</t>
  </si>
  <si>
    <t>유형자산취득결정</t>
  </si>
  <si>
    <t>단기차입금증가결정</t>
  </si>
  <si>
    <t>타인에대한담보제공결정</t>
  </si>
  <si>
    <t>담보제공</t>
  </si>
  <si>
    <t>주식교환ㆍ이전결정</t>
  </si>
  <si>
    <t>유형자산처분결정</t>
  </si>
  <si>
    <t>주권관련사채권의취득결정</t>
  </si>
  <si>
    <t>영업양도결정</t>
  </si>
  <si>
    <t>영업양도</t>
  </si>
  <si>
    <t>채무인수결정</t>
  </si>
  <si>
    <t>채무인수</t>
  </si>
  <si>
    <t>최대주주등소유주식변동신고서</t>
  </si>
  <si>
    <t>지배구조·임원·주주</t>
  </si>
  <si>
    <t>주주총회소집결의</t>
  </si>
  <si>
    <t>기업지배구조보고서공시</t>
  </si>
  <si>
    <t>대표이사변경</t>
  </si>
  <si>
    <t>지주회사의자회사탈퇴</t>
  </si>
  <si>
    <t>최대주주변경</t>
  </si>
  <si>
    <t>지주회사의자회사편입</t>
  </si>
  <si>
    <t>소속부변경</t>
  </si>
  <si>
    <t>최대주주변경을수반하는주식양수도계약체결</t>
  </si>
  <si>
    <t>계열회사변경</t>
  </si>
  <si>
    <t>현금ㆍ현물배당결정</t>
  </si>
  <si>
    <t>주주환원·자본변동</t>
  </si>
  <si>
    <t>현금·현물배당</t>
  </si>
  <si>
    <t>현금ㆍ현물배당을위한주주명부폐쇄결정</t>
  </si>
  <si>
    <t>주주명부폐쇄기간또는기준일설정</t>
  </si>
  <si>
    <t>주식소각결정</t>
  </si>
  <si>
    <t>수시공시의무관련사항</t>
  </si>
  <si>
    <t>유상증자또는주식관련사채등의발행결과</t>
  </si>
  <si>
    <t>증권발행결과</t>
  </si>
  <si>
    <t>전환가액ㆍ신주인수권행사가액ㆍ교환가액의조정</t>
  </si>
  <si>
    <t>유상증자또는주식관련사채등의청약결과</t>
  </si>
  <si>
    <t>전환가액의조정</t>
  </si>
  <si>
    <t>전환청구권행사</t>
  </si>
  <si>
    <t>유상증자신주발행가액</t>
  </si>
  <si>
    <t>전환사채발행후만기전사채취득</t>
  </si>
  <si>
    <t>전환청구권ㆍ신주인수권ㆍ교환청구권행사</t>
  </si>
  <si>
    <t>주식분할결정</t>
  </si>
  <si>
    <t>주식분할(액면분할)</t>
  </si>
  <si>
    <t>주식배당결정</t>
  </si>
  <si>
    <t>주식배당</t>
  </si>
  <si>
    <t>유무상증자결정</t>
  </si>
  <si>
    <t>유무상증자</t>
  </si>
  <si>
    <t>권리락</t>
  </si>
  <si>
    <t>신주인수권부사채발행후만기전사채취득</t>
  </si>
  <si>
    <t>연결재무제표기준영업실적</t>
  </si>
  <si>
    <t>재무·결산</t>
  </si>
  <si>
    <t>감사보고서제출</t>
  </si>
  <si>
    <t>결산실적공시예고</t>
  </si>
  <si>
    <t>영업실적</t>
  </si>
  <si>
    <t>영업실적(공정공시)</t>
  </si>
  <si>
    <t>매출액또는손익구조30%이상변경</t>
  </si>
  <si>
    <t>연결재무제표기준영업실적등에대한전망</t>
  </si>
  <si>
    <t>영업실적등에대한전망</t>
  </si>
  <si>
    <t>매출액또는손익구조30%이상변동</t>
  </si>
  <si>
    <t>매출액또는손익구조30%미만변경</t>
  </si>
  <si>
    <t>매출액또는손익구조30%미만변동</t>
  </si>
  <si>
    <t>소송등의제기ㆍ신청</t>
  </si>
  <si>
    <t>리스크·소송·재해·불성실</t>
  </si>
  <si>
    <t>소송등의판결ㆍ결정</t>
  </si>
  <si>
    <t>생산중단</t>
  </si>
  <si>
    <t>거래처와의거래중단</t>
  </si>
  <si>
    <t>중대재해발생</t>
  </si>
  <si>
    <t>불성실공시법인지정예고</t>
  </si>
  <si>
    <t>횡령ㆍ배임사실확인</t>
  </si>
  <si>
    <t>파생상품거래손실발생</t>
  </si>
  <si>
    <t>횡령ㆍ배임혐의발생</t>
  </si>
  <si>
    <t>생산재개</t>
  </si>
  <si>
    <t>회계처리기준위반에따른검찰고발등조치결과</t>
  </si>
  <si>
    <t>불성실공시법인미지정</t>
  </si>
  <si>
    <t>불성실공시법인지정</t>
  </si>
  <si>
    <t>회계처리기준위반에따른검찰고발등조치</t>
  </si>
  <si>
    <t>정기주주총회결과</t>
  </si>
  <si>
    <t>기타·시장안내·ESG·해외</t>
  </si>
  <si>
    <t>기타경영사항</t>
  </si>
  <si>
    <t>풍문또는보도에대한해명</t>
  </si>
  <si>
    <t>지속가능경영보고서등관련사항</t>
  </si>
  <si>
    <t>ESG(지속가능경영)보고서</t>
  </si>
  <si>
    <t>공정거래자율준수프로그램운영현황</t>
  </si>
  <si>
    <t>조회공시요구에대한답변</t>
  </si>
  <si>
    <t>임시주주총회결과</t>
  </si>
  <si>
    <t>주주총회집중일개최사유신고</t>
  </si>
  <si>
    <t>조회공시요구</t>
  </si>
  <si>
    <t>기타안내사항</t>
  </si>
  <si>
    <t>해외증권거래소등에신고한사업보고서등의국내신고</t>
  </si>
  <si>
    <t>매매거래정지및정지해제</t>
  </si>
  <si>
    <t>매매거래정지·정지해제</t>
  </si>
  <si>
    <t>주요사항보고서</t>
  </si>
  <si>
    <t>기타시장안내</t>
  </si>
  <si>
    <t>해외증권거래소등에신고한주요공시사항의국내신고</t>
  </si>
  <si>
    <t>정보보호현황</t>
  </si>
  <si>
    <t>해산사유발생</t>
  </si>
  <si>
    <t>기타주요경영사항</t>
  </si>
  <si>
    <t>주권매매거래정지</t>
  </si>
  <si>
    <t>가족친화인증ㆍ유효기간연장ㆍ인증취소</t>
  </si>
  <si>
    <t>본점소재지변경</t>
  </si>
  <si>
    <t>투자유의안내</t>
  </si>
  <si>
    <t>상장폐지승인을위한의안상정결정</t>
  </si>
  <si>
    <t>기업설명회개최</t>
  </si>
  <si>
    <t>IR·전망·설명회</t>
  </si>
  <si>
    <t>기업설명회(IR)</t>
  </si>
  <si>
    <t>투자판단관련주요경영사항</t>
  </si>
  <si>
    <t>기업가치제고계획</t>
  </si>
  <si>
    <t>장래사업ㆍ경영계획</t>
  </si>
  <si>
    <t>장래사업·경영계획</t>
  </si>
  <si>
    <t>기업가치제고계획예고</t>
  </si>
  <si>
    <t>공급계약체결</t>
  </si>
  <si>
    <t>타법인지분취득</t>
  </si>
  <si>
    <t>채무보증제공</t>
  </si>
  <si>
    <t>타법인지분처분</t>
  </si>
  <si>
    <t>선급금지급</t>
  </si>
  <si>
    <t>공급계약해지</t>
  </si>
  <si>
    <t>유형자산취득</t>
  </si>
  <si>
    <t>단기차입금증가</t>
  </si>
  <si>
    <t>회사합병</t>
  </si>
  <si>
    <t>유형자산처분</t>
  </si>
  <si>
    <t>주권관련사채권취득</t>
  </si>
  <si>
    <t>회사분할</t>
  </si>
  <si>
    <t>최대주주지분변동신고</t>
  </si>
  <si>
    <t>지배구조보고서공시</t>
  </si>
  <si>
    <t>지주회사자회사탈퇴</t>
  </si>
  <si>
    <t>지주회사자회사편입</t>
  </si>
  <si>
    <t>최대주주변경수반주식양수도계약</t>
  </si>
  <si>
    <t>배당기준일(주주명부폐쇄)</t>
  </si>
  <si>
    <t>주주명부폐쇄·기준일설정</t>
  </si>
  <si>
    <t>자기주식소각</t>
  </si>
  <si>
    <t>주주환원정책등수시공시</t>
  </si>
  <si>
    <t>조건부자본증권(상각형)발행</t>
  </si>
  <si>
    <t>유상증자·주식관련사채발행결과</t>
  </si>
  <si>
    <t>전환가액등조정</t>
  </si>
  <si>
    <t>유상증자등청약결과</t>
  </si>
  <si>
    <t>전환가액조정</t>
  </si>
  <si>
    <t>전환사채만기전취득</t>
  </si>
  <si>
    <t>전환청구권등행사</t>
  </si>
  <si>
    <t>신주인수권부사채만기전취득</t>
  </si>
  <si>
    <t>영업실적(잠정,연결)</t>
  </si>
  <si>
    <t>매출액·손익구조30%이상변경</t>
  </si>
  <si>
    <t>영업실적전망(연결,공정공시)</t>
  </si>
  <si>
    <t>영업실적전망(공정공시)</t>
  </si>
  <si>
    <t>매출액·손익구조30%이상변동</t>
  </si>
  <si>
    <t>매출액·손익구조15%미만변경</t>
  </si>
  <si>
    <t>매출액·손익구조15%미만변동</t>
  </si>
  <si>
    <t>소송제기·신청</t>
  </si>
  <si>
    <t>소송판결·결정</t>
  </si>
  <si>
    <t>거래처거래중단</t>
  </si>
  <si>
    <t>횡령·배임사실확인</t>
  </si>
  <si>
    <t>파생상품거래손실</t>
  </si>
  <si>
    <t>횡령·배임혐의발생</t>
  </si>
  <si>
    <t>회계기준위반조치결과</t>
  </si>
  <si>
    <t>회계기준위반검찰고발조치</t>
  </si>
  <si>
    <t>정기주총결과(사후보고)</t>
  </si>
  <si>
    <t>기타경영사항(자율공시)</t>
  </si>
  <si>
    <t>풍문·보도해명</t>
  </si>
  <si>
    <t>준법(CP)운영현황</t>
  </si>
  <si>
    <t>조회공시답변</t>
  </si>
  <si>
    <t>임시주총결과(사후보고)</t>
  </si>
  <si>
    <t>주총집중일개최사유신고</t>
  </si>
  <si>
    <t>해외사업보고서의국내신고</t>
  </si>
  <si>
    <t>주요사항보고서(자회사,세부미상)</t>
  </si>
  <si>
    <t>해외주요공시사항의국내신고</t>
  </si>
  <si>
    <t>가족친화인증관련</t>
  </si>
  <si>
    <t>상장폐지승인의안상정</t>
  </si>
  <si>
    <t>투자판단관련경영사항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</si>
</sst>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6"/>
      <color rgb="FFFFFFFF"/>
      <name val="맑은 고딕"/>
      <family val="3"/>
      <charset val="129"/>
      <scheme val="minor"/>
    </font>
    <font>
      <sz val="10"/>
      <color rgb="FF595959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</fonts>
  <fills count="2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CE6F1"/>
      </patternFill>
    </fill>
    <fill>
      <patternFill patternType="solid">
        <fgColor rgb="FFF8CBAD"/>
      </patternFill>
    </fill>
    <fill>
      <patternFill patternType="solid">
        <fgColor rgb="FFD9D9D9"/>
      </patternFill>
    </fill>
    <fill>
      <patternFill patternType="solid">
        <fgColor rgb="FFD9D2E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>
      <alignment vertical="center"/>
    </xf>
    <xf numFmtId="3" fontId="4" fillId="10" borderId="1" xfId="0" applyNumberFormat="1" applyFont="1" applyFill="1" applyBorder="1" applyAlignment="1">
      <alignment horizontal="right" vertical="center"/>
    </xf>
    <xf numFmtId="176" fontId="4" fillId="10" borderId="1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11" borderId="0" xfId="0" applyFont="1" applyFill="1" applyAlignment="1">
      <alignment horizontal="left" vertical="center" wrapText="1"/>
    </xf>
    <xf numFmtId="0" fontId="7" fillId="12" borderId="0" xfId="0" applyFont="1" applyFill="1" applyAlignment="1">
      <alignment horizontal="center" vertical="center" wrapText="1"/>
    </xf>
    <xf numFmtId="0" fontId="8" fillId="13" borderId="0" xfId="0" applyFont="1" applyFill="1">
      <alignment vertical="center"/>
    </xf>
    <xf numFmtId="0" fontId="9" fillId="13" borderId="0" xfId="0" applyFont="1" applyFill="1" applyAlignment="1">
      <alignment horizontal="center" vertical="center"/>
    </xf>
    <xf numFmtId="0" fontId="8" fillId="14" borderId="0" xfId="0" applyFont="1" applyFill="1">
      <alignment vertical="center"/>
    </xf>
    <xf numFmtId="0" fontId="9" fillId="14" borderId="0" xfId="0" applyFont="1" applyFill="1" applyAlignment="1">
      <alignment horizontal="center" vertical="center"/>
    </xf>
    <xf numFmtId="0" fontId="8" fillId="15" borderId="0" xfId="0" applyFont="1" applyFill="1">
      <alignment vertical="center"/>
    </xf>
    <xf numFmtId="0" fontId="9" fillId="15" borderId="0" xfId="0" applyFont="1" applyFill="1" applyAlignment="1">
      <alignment horizontal="center" vertical="center"/>
    </xf>
    <xf numFmtId="0" fontId="8" fillId="16" borderId="0" xfId="0" applyFont="1" applyFill="1">
      <alignment vertical="center"/>
    </xf>
    <xf numFmtId="0" fontId="9" fillId="16" borderId="0" xfId="0" applyFont="1" applyFill="1" applyAlignment="1">
      <alignment horizontal="center" vertical="center"/>
    </xf>
    <xf numFmtId="0" fontId="8" fillId="17" borderId="0" xfId="0" applyFont="1" applyFill="1">
      <alignment vertical="center"/>
    </xf>
    <xf numFmtId="0" fontId="9" fillId="17" borderId="0" xfId="0" applyFont="1" applyFill="1" applyAlignment="1">
      <alignment horizontal="center" vertical="center"/>
    </xf>
    <xf numFmtId="0" fontId="8" fillId="18" borderId="0" xfId="0" applyFont="1" applyFill="1">
      <alignment vertical="center"/>
    </xf>
    <xf numFmtId="0" fontId="9" fillId="18" borderId="0" xfId="0" applyFont="1" applyFill="1" applyAlignment="1">
      <alignment horizontal="center" vertical="center"/>
    </xf>
    <xf numFmtId="0" fontId="8" fillId="19" borderId="0" xfId="0" applyFont="1" applyFill="1">
      <alignment vertical="center"/>
    </xf>
    <xf numFmtId="0" fontId="9" fillId="19" borderId="0" xfId="0" applyFont="1" applyFill="1" applyAlignment="1">
      <alignment horizontal="center" vertical="center"/>
    </xf>
  </cellXfs>
  <cellStyles count="1">
    <cellStyle name="표준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맑은 고딕"/>
        <family val="3"/>
        <charset val="129"/>
        <scheme val="minor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C8A35B-CA1E-4343-B9CB-86B7253BDB5A}" name="SimplifiedDisclosureTaxonomy" displayName="SimplifiedDisclosureTaxonomy" ref="A1:C29" totalsRowShown="0" headerRowDxfId="2">
  <autoFilter ref="A1:C29" xr:uid="{01C8A35B-CA1E-4343-B9CB-86B7253BDB5A}"/>
  <sortState xmlns:xlrd2="http://schemas.microsoft.com/office/spreadsheetml/2017/richdata2" ref="A2:C29">
    <sortCondition descending="1" ref="B1:B29"/>
  </sortState>
  <tableColumns count="3">
    <tableColumn id="1" xr3:uid="{77F1F035-F26E-46D6-A413-5C51026EEFB8}" name="공시 제목" dataDxfId="1"/>
    <tableColumn id="3" xr3:uid="{74699ADF-382C-4D9C-8F9D-851DB3FA4112}" name="통합 분류"/>
    <tableColumn id="4" xr3:uid="{ADD4F148-6ECB-4473-A888-E8F407D1BA83}" name="세부 유형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4D478-5A77-4C43-AF30-BFDE1CCD86E8}">
  <sheetPr>
    <tabColor rgb="FF1F4E79"/>
    <pageSetUpPr fitToPage="1"/>
  </sheetPr>
  <dimension ref="A1:C29"/>
  <sheetViews>
    <sheetView showGridLines="0" workbookViewId="0">
      <pane ySplit="1" topLeftCell="A2" activePane="bottomLeft" state="frozenSplit"/>
      <selection pane="bottomLeft" activeCell="J8" sqref="J8"/>
    </sheetView>
  </sheetViews>
  <sheetFormatPr defaultRowHeight="15.6" x14ac:dyDescent="0.4"/>
  <cols>
    <col min="1" max="1" width="48.69921875" style="1" customWidth="1"/>
    <col min="2" max="2" width="22.69921875" style="1" customWidth="1"/>
    <col min="3" max="3" width="30.69921875" style="1" customWidth="1"/>
    <col min="4" max="16384" width="8.796875" style="1"/>
  </cols>
  <sheetData>
    <row r="1" spans="1:3" ht="27" customHeight="1" x14ac:dyDescent="0.4">
      <c r="A1" s="2" t="s">
        <v>0</v>
      </c>
      <c r="B1" s="2" t="s">
        <v>2</v>
      </c>
      <c r="C1" s="2" t="s">
        <v>3</v>
      </c>
    </row>
    <row r="2" spans="1:3" ht="22.05" customHeight="1" x14ac:dyDescent="0.4">
      <c r="A2" s="3" t="s">
        <v>40</v>
      </c>
      <c r="B2" s="7" t="s">
        <v>14</v>
      </c>
      <c r="C2" s="3" t="s">
        <v>67</v>
      </c>
    </row>
    <row r="3" spans="1:3" ht="22.05" customHeight="1" x14ac:dyDescent="0.4">
      <c r="A3" s="3" t="s">
        <v>41</v>
      </c>
      <c r="B3" s="7" t="s">
        <v>14</v>
      </c>
      <c r="C3" s="3" t="s">
        <v>68</v>
      </c>
    </row>
    <row r="4" spans="1:3" ht="22.05" customHeight="1" x14ac:dyDescent="0.4">
      <c r="A4" s="3" t="s">
        <v>42</v>
      </c>
      <c r="B4" s="7" t="s">
        <v>14</v>
      </c>
      <c r="C4" s="3" t="s">
        <v>69</v>
      </c>
    </row>
    <row r="5" spans="1:3" ht="22.05" customHeight="1" x14ac:dyDescent="0.4">
      <c r="A5" s="3" t="s">
        <v>43</v>
      </c>
      <c r="B5" s="7" t="s">
        <v>14</v>
      </c>
      <c r="C5" s="3" t="s">
        <v>67</v>
      </c>
    </row>
    <row r="6" spans="1:3" ht="22.05" customHeight="1" x14ac:dyDescent="0.4">
      <c r="A6" s="3" t="s">
        <v>44</v>
      </c>
      <c r="B6" s="4" t="s">
        <v>5</v>
      </c>
      <c r="C6" s="3" t="s">
        <v>70</v>
      </c>
    </row>
    <row r="7" spans="1:3" ht="22.05" customHeight="1" x14ac:dyDescent="0.4">
      <c r="A7" s="3" t="s">
        <v>45</v>
      </c>
      <c r="B7" s="4" t="s">
        <v>5</v>
      </c>
      <c r="C7" s="3" t="s">
        <v>71</v>
      </c>
    </row>
    <row r="8" spans="1:3" ht="22.05" customHeight="1" x14ac:dyDescent="0.4">
      <c r="A8" s="3" t="s">
        <v>46</v>
      </c>
      <c r="B8" s="4" t="s">
        <v>5</v>
      </c>
      <c r="C8" s="3" t="s">
        <v>72</v>
      </c>
    </row>
    <row r="9" spans="1:3" ht="22.05" customHeight="1" x14ac:dyDescent="0.4">
      <c r="A9" s="3" t="s">
        <v>47</v>
      </c>
      <c r="B9" s="4" t="s">
        <v>5</v>
      </c>
      <c r="C9" s="3" t="s">
        <v>73</v>
      </c>
    </row>
    <row r="10" spans="1:3" ht="22.05" customHeight="1" x14ac:dyDescent="0.4">
      <c r="A10" s="3" t="s">
        <v>48</v>
      </c>
      <c r="B10" s="4" t="s">
        <v>5</v>
      </c>
      <c r="C10" s="3" t="s">
        <v>16</v>
      </c>
    </row>
    <row r="11" spans="1:3" ht="22.05" customHeight="1" x14ac:dyDescent="0.4">
      <c r="A11" s="3" t="s">
        <v>49</v>
      </c>
      <c r="B11" s="4" t="s">
        <v>5</v>
      </c>
      <c r="C11" s="3" t="s">
        <v>17</v>
      </c>
    </row>
    <row r="12" spans="1:3" ht="22.05" customHeight="1" x14ac:dyDescent="0.4">
      <c r="A12" s="3" t="s">
        <v>50</v>
      </c>
      <c r="B12" s="5" t="s">
        <v>7</v>
      </c>
      <c r="C12" s="3" t="s">
        <v>74</v>
      </c>
    </row>
    <row r="13" spans="1:3" ht="22.05" customHeight="1" x14ac:dyDescent="0.4">
      <c r="A13" s="3" t="s">
        <v>51</v>
      </c>
      <c r="B13" s="5" t="s">
        <v>7</v>
      </c>
      <c r="C13" s="3" t="s">
        <v>9</v>
      </c>
    </row>
    <row r="14" spans="1:3" ht="22.05" customHeight="1" x14ac:dyDescent="0.4">
      <c r="A14" s="3" t="s">
        <v>52</v>
      </c>
      <c r="B14" s="5" t="s">
        <v>7</v>
      </c>
      <c r="C14" s="3" t="s">
        <v>12</v>
      </c>
    </row>
    <row r="15" spans="1:3" ht="22.05" customHeight="1" x14ac:dyDescent="0.4">
      <c r="A15" s="3" t="s">
        <v>53</v>
      </c>
      <c r="B15" s="5" t="s">
        <v>7</v>
      </c>
      <c r="C15" s="3" t="s">
        <v>74</v>
      </c>
    </row>
    <row r="16" spans="1:3" ht="22.05" customHeight="1" x14ac:dyDescent="0.4">
      <c r="A16" s="3" t="s">
        <v>54</v>
      </c>
      <c r="B16" s="5" t="s">
        <v>7</v>
      </c>
      <c r="C16" s="3" t="s">
        <v>21</v>
      </c>
    </row>
    <row r="17" spans="1:3" ht="22.05" customHeight="1" x14ac:dyDescent="0.4">
      <c r="A17" s="3" t="s">
        <v>55</v>
      </c>
      <c r="B17" s="5" t="s">
        <v>7</v>
      </c>
      <c r="C17" s="3" t="s">
        <v>12</v>
      </c>
    </row>
    <row r="18" spans="1:3" ht="22.05" customHeight="1" x14ac:dyDescent="0.4">
      <c r="A18" s="3" t="s">
        <v>56</v>
      </c>
      <c r="B18" s="5" t="s">
        <v>7</v>
      </c>
      <c r="C18" s="3" t="s">
        <v>12</v>
      </c>
    </row>
    <row r="19" spans="1:3" ht="22.05" customHeight="1" x14ac:dyDescent="0.4">
      <c r="A19" s="3" t="s">
        <v>57</v>
      </c>
      <c r="B19" s="9" t="s">
        <v>22</v>
      </c>
      <c r="C19" s="3" t="s">
        <v>75</v>
      </c>
    </row>
    <row r="20" spans="1:3" ht="22.05" customHeight="1" x14ac:dyDescent="0.4">
      <c r="A20" s="3" t="s">
        <v>58</v>
      </c>
      <c r="B20" s="9" t="s">
        <v>22</v>
      </c>
      <c r="C20" s="3" t="s">
        <v>75</v>
      </c>
    </row>
    <row r="21" spans="1:3" ht="22.05" customHeight="1" x14ac:dyDescent="0.4">
      <c r="A21" s="3" t="s">
        <v>59</v>
      </c>
      <c r="B21" s="9" t="s">
        <v>22</v>
      </c>
      <c r="C21" s="3" t="s">
        <v>76</v>
      </c>
    </row>
    <row r="22" spans="1:3" ht="22.05" customHeight="1" x14ac:dyDescent="0.4">
      <c r="A22" s="3" t="s">
        <v>60</v>
      </c>
      <c r="B22" s="9" t="s">
        <v>22</v>
      </c>
      <c r="C22" s="3" t="s">
        <v>76</v>
      </c>
    </row>
    <row r="23" spans="1:3" ht="22.05" customHeight="1" x14ac:dyDescent="0.4">
      <c r="A23" s="3" t="s">
        <v>61</v>
      </c>
      <c r="B23" s="6" t="s">
        <v>10</v>
      </c>
      <c r="C23" s="3" t="s">
        <v>77</v>
      </c>
    </row>
    <row r="24" spans="1:3" ht="22.05" customHeight="1" x14ac:dyDescent="0.4">
      <c r="A24" s="3" t="s">
        <v>62</v>
      </c>
      <c r="B24" s="6" t="s">
        <v>10</v>
      </c>
      <c r="C24" s="3" t="s">
        <v>13</v>
      </c>
    </row>
    <row r="25" spans="1:3" ht="22.05" customHeight="1" x14ac:dyDescent="0.4">
      <c r="A25" s="3" t="s">
        <v>63</v>
      </c>
      <c r="B25" s="6" t="s">
        <v>10</v>
      </c>
      <c r="C25" s="3" t="s">
        <v>77</v>
      </c>
    </row>
    <row r="26" spans="1:3" ht="22.05" customHeight="1" x14ac:dyDescent="0.4">
      <c r="A26" s="3" t="s">
        <v>64</v>
      </c>
      <c r="B26" s="6" t="s">
        <v>10</v>
      </c>
      <c r="C26" s="3" t="s">
        <v>77</v>
      </c>
    </row>
    <row r="27" spans="1:3" ht="22.05" customHeight="1" x14ac:dyDescent="0.4">
      <c r="A27" s="3" t="s">
        <v>65</v>
      </c>
      <c r="B27" s="6" t="s">
        <v>10</v>
      </c>
      <c r="C27" s="3" t="s">
        <v>78</v>
      </c>
    </row>
    <row r="28" spans="1:3" ht="22.05" customHeight="1" x14ac:dyDescent="0.4">
      <c r="A28" s="3" t="s">
        <v>66</v>
      </c>
      <c r="B28" s="8" t="s">
        <v>18</v>
      </c>
      <c r="C28" s="3" t="s">
        <v>19</v>
      </c>
    </row>
    <row r="29" spans="1:3" ht="22.05" customHeight="1" x14ac:dyDescent="0.4">
      <c r="A29" s="3" t="s">
        <v>24</v>
      </c>
      <c r="B29" s="8" t="s">
        <v>18</v>
      </c>
      <c r="C29" s="3" t="s">
        <v>24</v>
      </c>
    </row>
  </sheetData>
  <phoneticPr fontId="1" type="noConversion"/>
  <pageMargins left="0.25" right="0.25" top="0.4" bottom="0.4" header="0.3" footer="0.3"/>
  <pageSetup paperSize="9" scale="87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B92C9-FDAD-4309-8ABB-2D9D5EFAFA14}">
  <dimension ref="A1:C105"/>
  <sheetViews>
    <sheetView tabSelected="1" zoomScaleNormal="100" workbookViewId="0">
      <selection activeCell="J11" sqref="J11"/>
    </sheetView>
  </sheetViews>
  <sheetFormatPr defaultRowHeight="17.399999999999999" x14ac:dyDescent="0.4"/>
  <cols>
    <col min="1" max="1" width="48.3984375" bestFit="1" customWidth="1"/>
    <col min="2" max="2" width="23.19921875" bestFit="1" customWidth="1"/>
    <col min="3" max="3" width="33.09765625" bestFit="1" customWidth="1"/>
  </cols>
  <sheetData>
    <row r="1" spans="1:3" x14ac:dyDescent="0.4">
      <c r="A1" s="28" t="s">
        <v>0</v>
      </c>
      <c r="B1" s="28" t="s">
        <v>2</v>
      </c>
      <c r="C1" s="28" t="s">
        <v>3</v>
      </c>
    </row>
    <row r="2" spans="1:3" x14ac:dyDescent="0.4">
      <c r="A2" s="29" t="s">
        <v>79</v>
      </c>
      <c r="B2" s="30" t="s">
        <v>80</v>
      </c>
      <c r="C2" s="29" t="s">
        <v>197</v>
      </c>
    </row>
    <row r="3" spans="1:3" x14ac:dyDescent="0.4">
      <c r="A3" s="29" t="s">
        <v>81</v>
      </c>
      <c r="B3" s="30" t="s">
        <v>80</v>
      </c>
      <c r="C3" s="29" t="s">
        <v>198</v>
      </c>
    </row>
    <row r="4" spans="1:3" x14ac:dyDescent="0.4">
      <c r="A4" s="29" t="s">
        <v>82</v>
      </c>
      <c r="B4" s="30" t="s">
        <v>80</v>
      </c>
      <c r="C4" s="29" t="s">
        <v>199</v>
      </c>
    </row>
    <row r="5" spans="1:3" x14ac:dyDescent="0.4">
      <c r="A5" s="29" t="s">
        <v>83</v>
      </c>
      <c r="B5" s="30" t="s">
        <v>80</v>
      </c>
      <c r="C5" s="29" t="s">
        <v>200</v>
      </c>
    </row>
    <row r="6" spans="1:3" x14ac:dyDescent="0.4">
      <c r="A6" s="29" t="s">
        <v>84</v>
      </c>
      <c r="B6" s="30" t="s">
        <v>80</v>
      </c>
      <c r="C6" s="29" t="s">
        <v>85</v>
      </c>
    </row>
    <row r="7" spans="1:3" x14ac:dyDescent="0.4">
      <c r="A7" s="29" t="s">
        <v>86</v>
      </c>
      <c r="B7" s="30" t="s">
        <v>80</v>
      </c>
      <c r="C7" s="29" t="s">
        <v>201</v>
      </c>
    </row>
    <row r="8" spans="1:3" x14ac:dyDescent="0.4">
      <c r="A8" s="29" t="s">
        <v>87</v>
      </c>
      <c r="B8" s="30" t="s">
        <v>80</v>
      </c>
      <c r="C8" s="29" t="s">
        <v>88</v>
      </c>
    </row>
    <row r="9" spans="1:3" x14ac:dyDescent="0.4">
      <c r="A9" s="29" t="s">
        <v>89</v>
      </c>
      <c r="B9" s="30" t="s">
        <v>80</v>
      </c>
      <c r="C9" s="29" t="s">
        <v>202</v>
      </c>
    </row>
    <row r="10" spans="1:3" x14ac:dyDescent="0.4">
      <c r="A10" s="29" t="s">
        <v>90</v>
      </c>
      <c r="B10" s="30" t="s">
        <v>80</v>
      </c>
      <c r="C10" s="29" t="s">
        <v>203</v>
      </c>
    </row>
    <row r="11" spans="1:3" x14ac:dyDescent="0.4">
      <c r="A11" s="29" t="s">
        <v>91</v>
      </c>
      <c r="B11" s="30" t="s">
        <v>80</v>
      </c>
      <c r="C11" s="29" t="s">
        <v>204</v>
      </c>
    </row>
    <row r="12" spans="1:3" x14ac:dyDescent="0.4">
      <c r="A12" s="29" t="s">
        <v>92</v>
      </c>
      <c r="B12" s="30" t="s">
        <v>80</v>
      </c>
      <c r="C12" s="29" t="s">
        <v>93</v>
      </c>
    </row>
    <row r="13" spans="1:3" x14ac:dyDescent="0.4">
      <c r="A13" s="29" t="s">
        <v>61</v>
      </c>
      <c r="B13" s="30" t="s">
        <v>80</v>
      </c>
      <c r="C13" s="29" t="s">
        <v>205</v>
      </c>
    </row>
    <row r="14" spans="1:3" x14ac:dyDescent="0.4">
      <c r="A14" s="29" t="s">
        <v>94</v>
      </c>
      <c r="B14" s="30" t="s">
        <v>80</v>
      </c>
      <c r="C14" s="29" t="s">
        <v>13</v>
      </c>
    </row>
    <row r="15" spans="1:3" x14ac:dyDescent="0.4">
      <c r="A15" s="29" t="s">
        <v>95</v>
      </c>
      <c r="B15" s="30" t="s">
        <v>80</v>
      </c>
      <c r="C15" s="29" t="s">
        <v>206</v>
      </c>
    </row>
    <row r="16" spans="1:3" x14ac:dyDescent="0.4">
      <c r="A16" s="29" t="s">
        <v>96</v>
      </c>
      <c r="B16" s="30" t="s">
        <v>80</v>
      </c>
      <c r="C16" s="29" t="s">
        <v>207</v>
      </c>
    </row>
    <row r="17" spans="1:3" x14ac:dyDescent="0.4">
      <c r="A17" s="29" t="s">
        <v>63</v>
      </c>
      <c r="B17" s="30" t="s">
        <v>80</v>
      </c>
      <c r="C17" s="29" t="s">
        <v>208</v>
      </c>
    </row>
    <row r="18" spans="1:3" x14ac:dyDescent="0.4">
      <c r="A18" s="29" t="s">
        <v>65</v>
      </c>
      <c r="B18" s="30" t="s">
        <v>80</v>
      </c>
      <c r="C18" s="29" t="s">
        <v>78</v>
      </c>
    </row>
    <row r="19" spans="1:3" x14ac:dyDescent="0.4">
      <c r="A19" s="29" t="s">
        <v>97</v>
      </c>
      <c r="B19" s="30" t="s">
        <v>80</v>
      </c>
      <c r="C19" s="29" t="s">
        <v>98</v>
      </c>
    </row>
    <row r="20" spans="1:3" x14ac:dyDescent="0.4">
      <c r="A20" s="29" t="s">
        <v>99</v>
      </c>
      <c r="B20" s="30" t="s">
        <v>80</v>
      </c>
      <c r="C20" s="29" t="s">
        <v>100</v>
      </c>
    </row>
    <row r="21" spans="1:3" x14ac:dyDescent="0.4">
      <c r="A21" s="31" t="s">
        <v>101</v>
      </c>
      <c r="B21" s="32" t="s">
        <v>102</v>
      </c>
      <c r="C21" s="31" t="s">
        <v>209</v>
      </c>
    </row>
    <row r="22" spans="1:3" x14ac:dyDescent="0.4">
      <c r="A22" s="31" t="s">
        <v>103</v>
      </c>
      <c r="B22" s="32" t="s">
        <v>102</v>
      </c>
      <c r="C22" s="31" t="s">
        <v>103</v>
      </c>
    </row>
    <row r="23" spans="1:3" x14ac:dyDescent="0.4">
      <c r="A23" s="31" t="s">
        <v>104</v>
      </c>
      <c r="B23" s="32" t="s">
        <v>102</v>
      </c>
      <c r="C23" s="31" t="s">
        <v>210</v>
      </c>
    </row>
    <row r="24" spans="1:3" x14ac:dyDescent="0.4">
      <c r="A24" s="31" t="s">
        <v>105</v>
      </c>
      <c r="B24" s="32" t="s">
        <v>102</v>
      </c>
      <c r="C24" s="31" t="s">
        <v>105</v>
      </c>
    </row>
    <row r="25" spans="1:3" x14ac:dyDescent="0.4">
      <c r="A25" s="31" t="s">
        <v>106</v>
      </c>
      <c r="B25" s="32" t="s">
        <v>102</v>
      </c>
      <c r="C25" s="31" t="s">
        <v>211</v>
      </c>
    </row>
    <row r="26" spans="1:3" x14ac:dyDescent="0.4">
      <c r="A26" s="31" t="s">
        <v>107</v>
      </c>
      <c r="B26" s="32" t="s">
        <v>102</v>
      </c>
      <c r="C26" s="31" t="s">
        <v>107</v>
      </c>
    </row>
    <row r="27" spans="1:3" x14ac:dyDescent="0.4">
      <c r="A27" s="31" t="s">
        <v>108</v>
      </c>
      <c r="B27" s="32" t="s">
        <v>102</v>
      </c>
      <c r="C27" s="31" t="s">
        <v>212</v>
      </c>
    </row>
    <row r="28" spans="1:3" x14ac:dyDescent="0.4">
      <c r="A28" s="31" t="s">
        <v>109</v>
      </c>
      <c r="B28" s="32" t="s">
        <v>102</v>
      </c>
      <c r="C28" s="31" t="s">
        <v>109</v>
      </c>
    </row>
    <row r="29" spans="1:3" x14ac:dyDescent="0.4">
      <c r="A29" s="31" t="s">
        <v>110</v>
      </c>
      <c r="B29" s="32" t="s">
        <v>102</v>
      </c>
      <c r="C29" s="31" t="s">
        <v>213</v>
      </c>
    </row>
    <row r="30" spans="1:3" x14ac:dyDescent="0.4">
      <c r="A30" s="31" t="s">
        <v>111</v>
      </c>
      <c r="B30" s="32" t="s">
        <v>102</v>
      </c>
      <c r="C30" s="31" t="s">
        <v>111</v>
      </c>
    </row>
    <row r="31" spans="1:3" x14ac:dyDescent="0.4">
      <c r="A31" s="33" t="s">
        <v>112</v>
      </c>
      <c r="B31" s="34" t="s">
        <v>113</v>
      </c>
      <c r="C31" s="33" t="s">
        <v>114</v>
      </c>
    </row>
    <row r="32" spans="1:3" x14ac:dyDescent="0.4">
      <c r="A32" s="33" t="s">
        <v>115</v>
      </c>
      <c r="B32" s="34" t="s">
        <v>113</v>
      </c>
      <c r="C32" s="33" t="s">
        <v>214</v>
      </c>
    </row>
    <row r="33" spans="1:3" x14ac:dyDescent="0.4">
      <c r="A33" s="33" t="s">
        <v>116</v>
      </c>
      <c r="B33" s="34" t="s">
        <v>113</v>
      </c>
      <c r="C33" s="33" t="s">
        <v>215</v>
      </c>
    </row>
    <row r="34" spans="1:3" x14ac:dyDescent="0.4">
      <c r="A34" s="33" t="s">
        <v>117</v>
      </c>
      <c r="B34" s="34" t="s">
        <v>113</v>
      </c>
      <c r="C34" s="33" t="s">
        <v>216</v>
      </c>
    </row>
    <row r="35" spans="1:3" x14ac:dyDescent="0.4">
      <c r="A35" s="33" t="s">
        <v>51</v>
      </c>
      <c r="B35" s="34" t="s">
        <v>113</v>
      </c>
      <c r="C35" s="33" t="s">
        <v>9</v>
      </c>
    </row>
    <row r="36" spans="1:3" x14ac:dyDescent="0.4">
      <c r="A36" s="33" t="s">
        <v>118</v>
      </c>
      <c r="B36" s="34" t="s">
        <v>113</v>
      </c>
      <c r="C36" s="33" t="s">
        <v>217</v>
      </c>
    </row>
    <row r="37" spans="1:3" x14ac:dyDescent="0.4">
      <c r="A37" s="33" t="s">
        <v>50</v>
      </c>
      <c r="B37" s="34" t="s">
        <v>113</v>
      </c>
      <c r="C37" s="33" t="s">
        <v>218</v>
      </c>
    </row>
    <row r="38" spans="1:3" x14ac:dyDescent="0.4">
      <c r="A38" s="33" t="s">
        <v>119</v>
      </c>
      <c r="B38" s="34" t="s">
        <v>113</v>
      </c>
      <c r="C38" s="33" t="s">
        <v>219</v>
      </c>
    </row>
    <row r="39" spans="1:3" x14ac:dyDescent="0.4">
      <c r="A39" s="33" t="s">
        <v>120</v>
      </c>
      <c r="B39" s="34" t="s">
        <v>113</v>
      </c>
      <c r="C39" s="33" t="s">
        <v>120</v>
      </c>
    </row>
    <row r="40" spans="1:3" x14ac:dyDescent="0.4">
      <c r="A40" s="33" t="s">
        <v>121</v>
      </c>
      <c r="B40" s="34" t="s">
        <v>113</v>
      </c>
      <c r="C40" s="33" t="s">
        <v>220</v>
      </c>
    </row>
    <row r="41" spans="1:3" x14ac:dyDescent="0.4">
      <c r="A41" s="33" t="s">
        <v>122</v>
      </c>
      <c r="B41" s="34" t="s">
        <v>113</v>
      </c>
      <c r="C41" s="33" t="s">
        <v>221</v>
      </c>
    </row>
    <row r="42" spans="1:3" x14ac:dyDescent="0.4">
      <c r="A42" s="33" t="s">
        <v>123</v>
      </c>
      <c r="B42" s="34" t="s">
        <v>113</v>
      </c>
      <c r="C42" s="33" t="s">
        <v>222</v>
      </c>
    </row>
    <row r="43" spans="1:3" x14ac:dyDescent="0.4">
      <c r="A43" s="33" t="s">
        <v>124</v>
      </c>
      <c r="B43" s="34" t="s">
        <v>113</v>
      </c>
      <c r="C43" s="33" t="s">
        <v>124</v>
      </c>
    </row>
    <row r="44" spans="1:3" x14ac:dyDescent="0.4">
      <c r="A44" s="33" t="s">
        <v>125</v>
      </c>
      <c r="B44" s="34" t="s">
        <v>113</v>
      </c>
      <c r="C44" s="33" t="s">
        <v>125</v>
      </c>
    </row>
    <row r="45" spans="1:3" x14ac:dyDescent="0.4">
      <c r="A45" s="33" t="s">
        <v>126</v>
      </c>
      <c r="B45" s="34" t="s">
        <v>113</v>
      </c>
      <c r="C45" s="33" t="s">
        <v>223</v>
      </c>
    </row>
    <row r="46" spans="1:3" x14ac:dyDescent="0.4">
      <c r="A46" s="33" t="s">
        <v>127</v>
      </c>
      <c r="B46" s="34" t="s">
        <v>113</v>
      </c>
      <c r="C46" s="33" t="s">
        <v>224</v>
      </c>
    </row>
    <row r="47" spans="1:3" x14ac:dyDescent="0.4">
      <c r="A47" s="33" t="s">
        <v>128</v>
      </c>
      <c r="B47" s="34" t="s">
        <v>113</v>
      </c>
      <c r="C47" s="33" t="s">
        <v>129</v>
      </c>
    </row>
    <row r="48" spans="1:3" x14ac:dyDescent="0.4">
      <c r="A48" s="33" t="s">
        <v>48</v>
      </c>
      <c r="B48" s="34" t="s">
        <v>113</v>
      </c>
      <c r="C48" s="33" t="s">
        <v>16</v>
      </c>
    </row>
    <row r="49" spans="1:3" x14ac:dyDescent="0.4">
      <c r="A49" s="33" t="s">
        <v>130</v>
      </c>
      <c r="B49" s="34" t="s">
        <v>113</v>
      </c>
      <c r="C49" s="33" t="s">
        <v>131</v>
      </c>
    </row>
    <row r="50" spans="1:3" x14ac:dyDescent="0.4">
      <c r="A50" s="33" t="s">
        <v>132</v>
      </c>
      <c r="B50" s="34" t="s">
        <v>113</v>
      </c>
      <c r="C50" s="33" t="s">
        <v>133</v>
      </c>
    </row>
    <row r="51" spans="1:3" x14ac:dyDescent="0.4">
      <c r="A51" s="33" t="s">
        <v>134</v>
      </c>
      <c r="B51" s="34" t="s">
        <v>113</v>
      </c>
      <c r="C51" s="33" t="s">
        <v>134</v>
      </c>
    </row>
    <row r="52" spans="1:3" x14ac:dyDescent="0.4">
      <c r="A52" s="33" t="s">
        <v>135</v>
      </c>
      <c r="B52" s="34" t="s">
        <v>113</v>
      </c>
      <c r="C52" s="33" t="s">
        <v>225</v>
      </c>
    </row>
    <row r="53" spans="1:3" x14ac:dyDescent="0.4">
      <c r="A53" s="35" t="s">
        <v>136</v>
      </c>
      <c r="B53" s="36" t="s">
        <v>137</v>
      </c>
      <c r="C53" s="35" t="s">
        <v>226</v>
      </c>
    </row>
    <row r="54" spans="1:3" x14ac:dyDescent="0.4">
      <c r="A54" s="35" t="s">
        <v>138</v>
      </c>
      <c r="B54" s="36" t="s">
        <v>137</v>
      </c>
      <c r="C54" s="35" t="s">
        <v>138</v>
      </c>
    </row>
    <row r="55" spans="1:3" x14ac:dyDescent="0.4">
      <c r="A55" s="35" t="s">
        <v>139</v>
      </c>
      <c r="B55" s="36" t="s">
        <v>137</v>
      </c>
      <c r="C55" s="35" t="s">
        <v>139</v>
      </c>
    </row>
    <row r="56" spans="1:3" x14ac:dyDescent="0.4">
      <c r="A56" s="35" t="s">
        <v>140</v>
      </c>
      <c r="B56" s="36" t="s">
        <v>137</v>
      </c>
      <c r="C56" s="35" t="s">
        <v>141</v>
      </c>
    </row>
    <row r="57" spans="1:3" x14ac:dyDescent="0.4">
      <c r="A57" s="35" t="s">
        <v>142</v>
      </c>
      <c r="B57" s="36" t="s">
        <v>137</v>
      </c>
      <c r="C57" s="35" t="s">
        <v>227</v>
      </c>
    </row>
    <row r="58" spans="1:3" x14ac:dyDescent="0.4">
      <c r="A58" s="35" t="s">
        <v>143</v>
      </c>
      <c r="B58" s="36" t="s">
        <v>137</v>
      </c>
      <c r="C58" s="35" t="s">
        <v>228</v>
      </c>
    </row>
    <row r="59" spans="1:3" x14ac:dyDescent="0.4">
      <c r="A59" s="35" t="s">
        <v>144</v>
      </c>
      <c r="B59" s="36" t="s">
        <v>137</v>
      </c>
      <c r="C59" s="35" t="s">
        <v>229</v>
      </c>
    </row>
    <row r="60" spans="1:3" x14ac:dyDescent="0.4">
      <c r="A60" s="35" t="s">
        <v>145</v>
      </c>
      <c r="B60" s="36" t="s">
        <v>137</v>
      </c>
      <c r="C60" s="35" t="s">
        <v>230</v>
      </c>
    </row>
    <row r="61" spans="1:3" x14ac:dyDescent="0.4">
      <c r="A61" s="35" t="s">
        <v>146</v>
      </c>
      <c r="B61" s="36" t="s">
        <v>137</v>
      </c>
      <c r="C61" s="35" t="s">
        <v>231</v>
      </c>
    </row>
    <row r="62" spans="1:3" x14ac:dyDescent="0.4">
      <c r="A62" s="35" t="s">
        <v>147</v>
      </c>
      <c r="B62" s="36" t="s">
        <v>137</v>
      </c>
      <c r="C62" s="35" t="s">
        <v>232</v>
      </c>
    </row>
    <row r="63" spans="1:3" x14ac:dyDescent="0.4">
      <c r="A63" s="37" t="s">
        <v>148</v>
      </c>
      <c r="B63" s="38" t="s">
        <v>149</v>
      </c>
      <c r="C63" s="37" t="s">
        <v>233</v>
      </c>
    </row>
    <row r="64" spans="1:3" x14ac:dyDescent="0.4">
      <c r="A64" s="37" t="s">
        <v>150</v>
      </c>
      <c r="B64" s="38" t="s">
        <v>149</v>
      </c>
      <c r="C64" s="37" t="s">
        <v>234</v>
      </c>
    </row>
    <row r="65" spans="1:3" x14ac:dyDescent="0.4">
      <c r="A65" s="37" t="s">
        <v>151</v>
      </c>
      <c r="B65" s="38" t="s">
        <v>149</v>
      </c>
      <c r="C65" s="37" t="s">
        <v>151</v>
      </c>
    </row>
    <row r="66" spans="1:3" x14ac:dyDescent="0.4">
      <c r="A66" s="37" t="s">
        <v>152</v>
      </c>
      <c r="B66" s="38" t="s">
        <v>149</v>
      </c>
      <c r="C66" s="37" t="s">
        <v>235</v>
      </c>
    </row>
    <row r="67" spans="1:3" x14ac:dyDescent="0.4">
      <c r="A67" s="37" t="s">
        <v>153</v>
      </c>
      <c r="B67" s="38" t="s">
        <v>149</v>
      </c>
      <c r="C67" s="37" t="s">
        <v>153</v>
      </c>
    </row>
    <row r="68" spans="1:3" x14ac:dyDescent="0.4">
      <c r="A68" s="37" t="s">
        <v>154</v>
      </c>
      <c r="B68" s="38" t="s">
        <v>149</v>
      </c>
      <c r="C68" s="37" t="s">
        <v>154</v>
      </c>
    </row>
    <row r="69" spans="1:3" x14ac:dyDescent="0.4">
      <c r="A69" s="37" t="s">
        <v>155</v>
      </c>
      <c r="B69" s="38" t="s">
        <v>149</v>
      </c>
      <c r="C69" s="37" t="s">
        <v>236</v>
      </c>
    </row>
    <row r="70" spans="1:3" x14ac:dyDescent="0.4">
      <c r="A70" s="37" t="s">
        <v>156</v>
      </c>
      <c r="B70" s="38" t="s">
        <v>149</v>
      </c>
      <c r="C70" s="37" t="s">
        <v>237</v>
      </c>
    </row>
    <row r="71" spans="1:3" x14ac:dyDescent="0.4">
      <c r="A71" s="37" t="s">
        <v>157</v>
      </c>
      <c r="B71" s="38" t="s">
        <v>149</v>
      </c>
      <c r="C71" s="37" t="s">
        <v>238</v>
      </c>
    </row>
    <row r="72" spans="1:3" x14ac:dyDescent="0.4">
      <c r="A72" s="37" t="s">
        <v>158</v>
      </c>
      <c r="B72" s="38" t="s">
        <v>149</v>
      </c>
      <c r="C72" s="37" t="s">
        <v>158</v>
      </c>
    </row>
    <row r="73" spans="1:3" x14ac:dyDescent="0.4">
      <c r="A73" s="37" t="s">
        <v>159</v>
      </c>
      <c r="B73" s="38" t="s">
        <v>149</v>
      </c>
      <c r="C73" s="37" t="s">
        <v>239</v>
      </c>
    </row>
    <row r="74" spans="1:3" x14ac:dyDescent="0.4">
      <c r="A74" s="37" t="s">
        <v>160</v>
      </c>
      <c r="B74" s="38" t="s">
        <v>149</v>
      </c>
      <c r="C74" s="37" t="s">
        <v>160</v>
      </c>
    </row>
    <row r="75" spans="1:3" x14ac:dyDescent="0.4">
      <c r="A75" s="37" t="s">
        <v>161</v>
      </c>
      <c r="B75" s="38" t="s">
        <v>149</v>
      </c>
      <c r="C75" s="37" t="s">
        <v>161</v>
      </c>
    </row>
    <row r="76" spans="1:3" x14ac:dyDescent="0.4">
      <c r="A76" s="37" t="s">
        <v>162</v>
      </c>
      <c r="B76" s="38" t="s">
        <v>149</v>
      </c>
      <c r="C76" s="37" t="s">
        <v>240</v>
      </c>
    </row>
    <row r="77" spans="1:3" x14ac:dyDescent="0.4">
      <c r="A77" s="37" t="s">
        <v>24</v>
      </c>
      <c r="B77" s="38" t="s">
        <v>149</v>
      </c>
      <c r="C77" s="37" t="s">
        <v>24</v>
      </c>
    </row>
    <row r="78" spans="1:3" x14ac:dyDescent="0.4">
      <c r="A78" s="39" t="s">
        <v>163</v>
      </c>
      <c r="B78" s="40" t="s">
        <v>164</v>
      </c>
      <c r="C78" s="39" t="s">
        <v>241</v>
      </c>
    </row>
    <row r="79" spans="1:3" x14ac:dyDescent="0.4">
      <c r="A79" s="39" t="s">
        <v>165</v>
      </c>
      <c r="B79" s="40" t="s">
        <v>164</v>
      </c>
      <c r="C79" s="39" t="s">
        <v>242</v>
      </c>
    </row>
    <row r="80" spans="1:3" x14ac:dyDescent="0.4">
      <c r="A80" s="39" t="s">
        <v>166</v>
      </c>
      <c r="B80" s="40" t="s">
        <v>164</v>
      </c>
      <c r="C80" s="39" t="s">
        <v>243</v>
      </c>
    </row>
    <row r="81" spans="1:3" x14ac:dyDescent="0.4">
      <c r="A81" s="39" t="s">
        <v>167</v>
      </c>
      <c r="B81" s="40" t="s">
        <v>164</v>
      </c>
      <c r="C81" s="39" t="s">
        <v>168</v>
      </c>
    </row>
    <row r="82" spans="1:3" x14ac:dyDescent="0.4">
      <c r="A82" s="39" t="s">
        <v>169</v>
      </c>
      <c r="B82" s="40" t="s">
        <v>164</v>
      </c>
      <c r="C82" s="39" t="s">
        <v>244</v>
      </c>
    </row>
    <row r="83" spans="1:3" x14ac:dyDescent="0.4">
      <c r="A83" s="39" t="s">
        <v>170</v>
      </c>
      <c r="B83" s="40" t="s">
        <v>164</v>
      </c>
      <c r="C83" s="39" t="s">
        <v>245</v>
      </c>
    </row>
    <row r="84" spans="1:3" x14ac:dyDescent="0.4">
      <c r="A84" s="39" t="s">
        <v>171</v>
      </c>
      <c r="B84" s="40" t="s">
        <v>164</v>
      </c>
      <c r="C84" s="39" t="s">
        <v>246</v>
      </c>
    </row>
    <row r="85" spans="1:3" x14ac:dyDescent="0.4">
      <c r="A85" s="39" t="s">
        <v>172</v>
      </c>
      <c r="B85" s="40" t="s">
        <v>164</v>
      </c>
      <c r="C85" s="39" t="s">
        <v>247</v>
      </c>
    </row>
    <row r="86" spans="1:3" x14ac:dyDescent="0.4">
      <c r="A86" s="39" t="s">
        <v>173</v>
      </c>
      <c r="B86" s="40" t="s">
        <v>164</v>
      </c>
      <c r="C86" s="39" t="s">
        <v>173</v>
      </c>
    </row>
    <row r="87" spans="1:3" x14ac:dyDescent="0.4">
      <c r="A87" s="39" t="s">
        <v>174</v>
      </c>
      <c r="B87" s="40" t="s">
        <v>164</v>
      </c>
      <c r="C87" s="39" t="s">
        <v>174</v>
      </c>
    </row>
    <row r="88" spans="1:3" x14ac:dyDescent="0.4">
      <c r="A88" s="39" t="s">
        <v>175</v>
      </c>
      <c r="B88" s="40" t="s">
        <v>164</v>
      </c>
      <c r="C88" s="39" t="s">
        <v>248</v>
      </c>
    </row>
    <row r="89" spans="1:3" x14ac:dyDescent="0.4">
      <c r="A89" s="39" t="s">
        <v>176</v>
      </c>
      <c r="B89" s="40" t="s">
        <v>164</v>
      </c>
      <c r="C89" s="39" t="s">
        <v>177</v>
      </c>
    </row>
    <row r="90" spans="1:3" x14ac:dyDescent="0.4">
      <c r="A90" s="39" t="s">
        <v>178</v>
      </c>
      <c r="B90" s="40" t="s">
        <v>164</v>
      </c>
      <c r="C90" s="39" t="s">
        <v>249</v>
      </c>
    </row>
    <row r="91" spans="1:3" x14ac:dyDescent="0.4">
      <c r="A91" s="39" t="s">
        <v>179</v>
      </c>
      <c r="B91" s="40" t="s">
        <v>164</v>
      </c>
      <c r="C91" s="39" t="s">
        <v>179</v>
      </c>
    </row>
    <row r="92" spans="1:3" x14ac:dyDescent="0.4">
      <c r="A92" s="39" t="s">
        <v>180</v>
      </c>
      <c r="B92" s="40" t="s">
        <v>164</v>
      </c>
      <c r="C92" s="39" t="s">
        <v>250</v>
      </c>
    </row>
    <row r="93" spans="1:3" x14ac:dyDescent="0.4">
      <c r="A93" s="39" t="s">
        <v>181</v>
      </c>
      <c r="B93" s="40" t="s">
        <v>164</v>
      </c>
      <c r="C93" s="39" t="s">
        <v>181</v>
      </c>
    </row>
    <row r="94" spans="1:3" x14ac:dyDescent="0.4">
      <c r="A94" s="39" t="s">
        <v>182</v>
      </c>
      <c r="B94" s="40" t="s">
        <v>164</v>
      </c>
      <c r="C94" s="39" t="s">
        <v>182</v>
      </c>
    </row>
    <row r="95" spans="1:3" x14ac:dyDescent="0.4">
      <c r="A95" s="39" t="s">
        <v>183</v>
      </c>
      <c r="B95" s="40" t="s">
        <v>164</v>
      </c>
      <c r="C95" s="39" t="s">
        <v>183</v>
      </c>
    </row>
    <row r="96" spans="1:3" x14ac:dyDescent="0.4">
      <c r="A96" s="39" t="s">
        <v>184</v>
      </c>
      <c r="B96" s="40" t="s">
        <v>164</v>
      </c>
      <c r="C96" s="39" t="s">
        <v>184</v>
      </c>
    </row>
    <row r="97" spans="1:3" x14ac:dyDescent="0.4">
      <c r="A97" s="39" t="s">
        <v>185</v>
      </c>
      <c r="B97" s="40" t="s">
        <v>164</v>
      </c>
      <c r="C97" s="39" t="s">
        <v>251</v>
      </c>
    </row>
    <row r="98" spans="1:3" x14ac:dyDescent="0.4">
      <c r="A98" s="39" t="s">
        <v>186</v>
      </c>
      <c r="B98" s="40" t="s">
        <v>164</v>
      </c>
      <c r="C98" s="39" t="s">
        <v>186</v>
      </c>
    </row>
    <row r="99" spans="1:3" x14ac:dyDescent="0.4">
      <c r="A99" s="39" t="s">
        <v>187</v>
      </c>
      <c r="B99" s="40" t="s">
        <v>164</v>
      </c>
      <c r="C99" s="39" t="s">
        <v>187</v>
      </c>
    </row>
    <row r="100" spans="1:3" x14ac:dyDescent="0.4">
      <c r="A100" s="39" t="s">
        <v>188</v>
      </c>
      <c r="B100" s="40" t="s">
        <v>164</v>
      </c>
      <c r="C100" s="39" t="s">
        <v>252</v>
      </c>
    </row>
    <row r="101" spans="1:3" x14ac:dyDescent="0.4">
      <c r="A101" s="41" t="s">
        <v>189</v>
      </c>
      <c r="B101" s="42" t="s">
        <v>190</v>
      </c>
      <c r="C101" s="41" t="s">
        <v>191</v>
      </c>
    </row>
    <row r="102" spans="1:3" x14ac:dyDescent="0.4">
      <c r="A102" s="41" t="s">
        <v>192</v>
      </c>
      <c r="B102" s="42" t="s">
        <v>190</v>
      </c>
      <c r="C102" s="41" t="s">
        <v>253</v>
      </c>
    </row>
    <row r="103" spans="1:3" x14ac:dyDescent="0.4">
      <c r="A103" s="41" t="s">
        <v>193</v>
      </c>
      <c r="B103" s="42" t="s">
        <v>190</v>
      </c>
      <c r="C103" s="41" t="s">
        <v>193</v>
      </c>
    </row>
    <row r="104" spans="1:3" x14ac:dyDescent="0.4">
      <c r="A104" s="41" t="s">
        <v>194</v>
      </c>
      <c r="B104" s="42" t="s">
        <v>190</v>
      </c>
      <c r="C104" s="41" t="s">
        <v>195</v>
      </c>
    </row>
    <row r="105" spans="1:3" x14ac:dyDescent="0.4">
      <c r="A105" s="41" t="s">
        <v>196</v>
      </c>
      <c r="B105" s="42" t="s">
        <v>190</v>
      </c>
      <c r="C105" s="41" t="s">
        <v>196</v>
      </c>
    </row>
  </sheetData>
  <autoFilter ref="A1:C1" xr:uid="{632B92C9-FDAD-4309-8ABB-2D9D5EFAFA14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BAE02-6686-4179-9B97-369FDB6DC8CA}">
  <sheetPr>
    <tabColor rgb="FF4472C4"/>
    <pageSetUpPr fitToPage="1"/>
  </sheetPr>
  <dimension ref="A1:F15"/>
  <sheetViews>
    <sheetView showGridLines="0" workbookViewId="0">
      <pane ySplit="4" topLeftCell="A5" activePane="bottomLeft" state="frozenSplit"/>
      <selection pane="bottomLeft" sqref="A1:F1"/>
    </sheetView>
  </sheetViews>
  <sheetFormatPr defaultRowHeight="15.6" x14ac:dyDescent="0.4"/>
  <cols>
    <col min="1" max="1" width="22.69921875" style="1" customWidth="1"/>
    <col min="2" max="2" width="35.69921875" style="1" customWidth="1"/>
    <col min="3" max="3" width="62.69921875" style="1" customWidth="1"/>
    <col min="4" max="4" width="13.69921875" style="1" customWidth="1"/>
    <col min="5" max="6" width="12.69921875" style="1" customWidth="1"/>
    <col min="7" max="16384" width="8.796875" style="1"/>
  </cols>
  <sheetData>
    <row r="1" spans="1:6" ht="34.049999999999997" customHeight="1" x14ac:dyDescent="0.4">
      <c r="A1" s="25" t="s">
        <v>25</v>
      </c>
      <c r="B1" s="25"/>
      <c r="C1" s="25"/>
      <c r="D1" s="25"/>
      <c r="E1" s="25"/>
      <c r="F1" s="25"/>
    </row>
    <row r="2" spans="1:6" ht="24" customHeight="1" x14ac:dyDescent="0.4">
      <c r="A2" s="26" t="s">
        <v>26</v>
      </c>
      <c r="B2" s="26"/>
      <c r="C2" s="26"/>
      <c r="D2" s="26"/>
      <c r="E2" s="26"/>
      <c r="F2" s="26"/>
    </row>
    <row r="4" spans="1:6" ht="25.95" customHeight="1" x14ac:dyDescent="0.4">
      <c r="A4" s="10" t="s">
        <v>2</v>
      </c>
      <c r="B4" s="10" t="s">
        <v>4</v>
      </c>
      <c r="C4" s="10" t="s">
        <v>27</v>
      </c>
      <c r="D4" s="10" t="s">
        <v>28</v>
      </c>
      <c r="E4" s="10" t="s">
        <v>1</v>
      </c>
      <c r="F4" s="10" t="s">
        <v>29</v>
      </c>
    </row>
    <row r="5" spans="1:6" ht="37.950000000000003" customHeight="1" x14ac:dyDescent="0.4">
      <c r="A5" s="11" t="s">
        <v>5</v>
      </c>
      <c r="B5" s="12" t="s">
        <v>6</v>
      </c>
      <c r="C5" s="13" t="s">
        <v>30</v>
      </c>
      <c r="D5" s="14">
        <f>COUNTIF(major!$B$2:$B$29,A5)</f>
        <v>6</v>
      </c>
      <c r="E5" s="14" t="e">
        <f>SUMIF(major!$B$2:$B$29,A5,major!#REF!)</f>
        <v>#REF!</v>
      </c>
      <c r="F5" s="15" t="e">
        <f t="shared" ref="F5:F10" si="0">E5/SUM($E$5:$E$10)</f>
        <v>#REF!</v>
      </c>
    </row>
    <row r="6" spans="1:6" ht="37.950000000000003" customHeight="1" x14ac:dyDescent="0.4">
      <c r="A6" s="16" t="s">
        <v>7</v>
      </c>
      <c r="B6" s="12" t="s">
        <v>8</v>
      </c>
      <c r="C6" s="13" t="s">
        <v>31</v>
      </c>
      <c r="D6" s="14">
        <f>COUNTIF(major!$B$2:$B$29,A6)</f>
        <v>7</v>
      </c>
      <c r="E6" s="14" t="e">
        <f>SUMIF(major!$B$2:$B$29,A6,major!#REF!)</f>
        <v>#REF!</v>
      </c>
      <c r="F6" s="15" t="e">
        <f t="shared" si="0"/>
        <v>#REF!</v>
      </c>
    </row>
    <row r="7" spans="1:6" ht="37.950000000000003" customHeight="1" x14ac:dyDescent="0.4">
      <c r="A7" s="17" t="s">
        <v>10</v>
      </c>
      <c r="B7" s="12" t="s">
        <v>11</v>
      </c>
      <c r="C7" s="13" t="s">
        <v>32</v>
      </c>
      <c r="D7" s="14">
        <f>COUNTIF(major!$B$2:$B$29,A7)</f>
        <v>5</v>
      </c>
      <c r="E7" s="14" t="e">
        <f>SUMIF(major!$B$2:$B$29,A7,major!#REF!)</f>
        <v>#REF!</v>
      </c>
      <c r="F7" s="15" t="e">
        <f t="shared" si="0"/>
        <v>#REF!</v>
      </c>
    </row>
    <row r="8" spans="1:6" ht="37.950000000000003" customHeight="1" x14ac:dyDescent="0.4">
      <c r="A8" s="18" t="s">
        <v>14</v>
      </c>
      <c r="B8" s="12" t="s">
        <v>15</v>
      </c>
      <c r="C8" s="13" t="s">
        <v>33</v>
      </c>
      <c r="D8" s="14">
        <f>COUNTIF(major!$B$2:$B$29,A8)</f>
        <v>4</v>
      </c>
      <c r="E8" s="14" t="e">
        <f>SUMIF(major!$B$2:$B$29,A8,major!#REF!)</f>
        <v>#REF!</v>
      </c>
      <c r="F8" s="15" t="e">
        <f t="shared" si="0"/>
        <v>#REF!</v>
      </c>
    </row>
    <row r="9" spans="1:6" ht="37.950000000000003" customHeight="1" x14ac:dyDescent="0.4">
      <c r="A9" s="19" t="s">
        <v>22</v>
      </c>
      <c r="B9" s="12" t="s">
        <v>23</v>
      </c>
      <c r="C9" s="13" t="s">
        <v>34</v>
      </c>
      <c r="D9" s="14">
        <f>COUNTIF(major!$B$2:$B$29,A9)</f>
        <v>4</v>
      </c>
      <c r="E9" s="14" t="e">
        <f>SUMIF(major!$B$2:$B$29,A9,major!#REF!)</f>
        <v>#REF!</v>
      </c>
      <c r="F9" s="15" t="e">
        <f t="shared" si="0"/>
        <v>#REF!</v>
      </c>
    </row>
    <row r="10" spans="1:6" ht="37.950000000000003" customHeight="1" x14ac:dyDescent="0.4">
      <c r="A10" s="20" t="s">
        <v>18</v>
      </c>
      <c r="B10" s="12" t="s">
        <v>20</v>
      </c>
      <c r="C10" s="13" t="s">
        <v>35</v>
      </c>
      <c r="D10" s="14">
        <f>COUNTIF(major!$B$2:$B$29,A10)</f>
        <v>2</v>
      </c>
      <c r="E10" s="14" t="e">
        <f>SUMIF(major!$B$2:$B$29,A10,major!#REF!)</f>
        <v>#REF!</v>
      </c>
      <c r="F10" s="15" t="e">
        <f t="shared" si="0"/>
        <v>#REF!</v>
      </c>
    </row>
    <row r="11" spans="1:6" ht="24" customHeight="1" x14ac:dyDescent="0.4">
      <c r="A11" s="21" t="s">
        <v>36</v>
      </c>
      <c r="B11" s="22"/>
      <c r="C11" s="22"/>
      <c r="D11" s="23">
        <f>SUM(D5:D10)</f>
        <v>28</v>
      </c>
      <c r="E11" s="23" t="e">
        <f>SUM(E5:E10)</f>
        <v>#REF!</v>
      </c>
      <c r="F11" s="24" t="e">
        <f>SUM(F5:F10)</f>
        <v>#REF!</v>
      </c>
    </row>
    <row r="13" spans="1:6" ht="25.95" customHeight="1" x14ac:dyDescent="0.4">
      <c r="A13" s="27" t="s">
        <v>37</v>
      </c>
      <c r="B13" s="27"/>
      <c r="C13" s="27"/>
      <c r="D13" s="27"/>
      <c r="E13" s="27"/>
      <c r="F13" s="27"/>
    </row>
    <row r="14" spans="1:6" ht="25.95" customHeight="1" x14ac:dyDescent="0.4">
      <c r="A14" s="27" t="s">
        <v>38</v>
      </c>
      <c r="B14" s="27"/>
      <c r="C14" s="27"/>
      <c r="D14" s="27"/>
      <c r="E14" s="27"/>
      <c r="F14" s="27"/>
    </row>
    <row r="15" spans="1:6" ht="25.95" customHeight="1" x14ac:dyDescent="0.4">
      <c r="A15" s="27" t="s">
        <v>39</v>
      </c>
      <c r="B15" s="27"/>
      <c r="C15" s="27"/>
      <c r="D15" s="27"/>
      <c r="E15" s="27"/>
      <c r="F15" s="27"/>
    </row>
  </sheetData>
  <mergeCells count="5">
    <mergeCell ref="A1:F1"/>
    <mergeCell ref="A2:F2"/>
    <mergeCell ref="A13:F13"/>
    <mergeCell ref="A14:F14"/>
    <mergeCell ref="A15:F15"/>
  </mergeCells>
  <phoneticPr fontId="1" type="noConversion"/>
  <pageMargins left="0.25" right="0.25" top="0.4" bottom="0.4" header="0.3" footer="0.3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major</vt:lpstr>
      <vt:lpstr>exchange</vt:lpstr>
      <vt:lpstr>그룹 기준</vt:lpstr>
      <vt:lpstr>major!Print_Area</vt:lpstr>
      <vt:lpstr>'그룹 기준'!Print_Area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김동현</dc:creator>
  <cp:lastModifiedBy>박종혁[ 학부휴학 / 컴퓨터학과 ]</cp:lastModifiedBy>
  <dcterms:created xsi:type="dcterms:W3CDTF">2026-08-27T17:11:51Z</dcterms:created>
  <dcterms:modified xsi:type="dcterms:W3CDTF">2026-08-29T14:49:02Z</dcterms:modified>
</cp:coreProperties>
</file>